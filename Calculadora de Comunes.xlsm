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Correo Marcelo\Marcelo Puppio\Develop\Excel\"/>
    </mc:Choice>
  </mc:AlternateContent>
  <bookViews>
    <workbookView xWindow="-24120" yWindow="-120" windowWidth="24240" windowHeight="13140"/>
  </bookViews>
  <sheets>
    <sheet name="Agosto 22" sheetId="29" r:id="rId1"/>
    <sheet name="Precios" sheetId="8" r:id="rId2"/>
    <sheet name="Tabla a calcular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8" l="1"/>
  <c r="F5" i="8" l="1"/>
  <c r="E5" i="8"/>
  <c r="D5" i="8"/>
  <c r="C5" i="8"/>
</calcChain>
</file>

<file path=xl/sharedStrings.xml><?xml version="1.0" encoding="utf-8"?>
<sst xmlns="http://schemas.openxmlformats.org/spreadsheetml/2006/main" count="1472" uniqueCount="241">
  <si>
    <t>Fecha</t>
  </si>
  <si>
    <t>Proveedor</t>
  </si>
  <si>
    <t>Remito Original</t>
  </si>
  <si>
    <t>Remito Codiba</t>
  </si>
  <si>
    <t>Factura Flete</t>
  </si>
  <si>
    <t>Pesada</t>
  </si>
  <si>
    <t>Tarifa</t>
  </si>
  <si>
    <t>Transporte</t>
  </si>
  <si>
    <t>Mercadería</t>
  </si>
  <si>
    <t>Cantidad</t>
  </si>
  <si>
    <t>Destino Cliente</t>
  </si>
  <si>
    <t>Fecha Ingreso</t>
  </si>
  <si>
    <t>Observaciones</t>
  </si>
  <si>
    <t>Factura Codiba</t>
  </si>
  <si>
    <t>Factura Original</t>
  </si>
  <si>
    <t>Orden Entrega</t>
  </si>
  <si>
    <t xml:space="preserve"> 1-CIBA S.A.</t>
  </si>
  <si>
    <t xml:space="preserve"> </t>
  </si>
  <si>
    <t>FEliJA</t>
  </si>
  <si>
    <t xml:space="preserve"> 0-</t>
  </si>
  <si>
    <t xml:space="preserve"> 81-CIBA S A (M)</t>
  </si>
  <si>
    <t xml:space="preserve"> 4626-SOLIDUS SA</t>
  </si>
  <si>
    <t>NA</t>
  </si>
  <si>
    <t>VENTURI</t>
  </si>
  <si>
    <t xml:space="preserve"> 5889-FRIGORIFICO REGIONAL VILDOZA S A</t>
  </si>
  <si>
    <t xml:space="preserve"> 2-DOS ANCLAS S.A.</t>
  </si>
  <si>
    <t>TDA</t>
  </si>
  <si>
    <t xml:space="preserve"> 3371-LABORATORIOS ESME SAIC</t>
  </si>
  <si>
    <t xml:space="preserve"> 682-MASTELLONE HNOS. S.A. LA SERENISIMA</t>
  </si>
  <si>
    <t xml:space="preserve"> 5408-LACTEOS DON FELIPE SRL (Ex Bergara)</t>
  </si>
  <si>
    <t xml:space="preserve"> 684-COCA-COLA FEMSA de Buenos Aires SA</t>
  </si>
  <si>
    <t>SOlid</t>
  </si>
  <si>
    <t>González</t>
  </si>
  <si>
    <t>220900-Sal Gsa.Lav.Seca x 25 kg. D.A.</t>
  </si>
  <si>
    <t>220100-Sal Gsa.Lav.Seca x 25 kg. D.A.</t>
  </si>
  <si>
    <t>240100-Sal Entrefina Lav.Seca X 25 Kg.D.A.</t>
  </si>
  <si>
    <t>240900-Sal Entrefina Lav.Seca X 25 Kg.D.A.</t>
  </si>
  <si>
    <t>287900-Sal Impalpable X 25 Kg D.A.</t>
  </si>
  <si>
    <t>2500-Sal a Granel D.A.</t>
  </si>
  <si>
    <t>260100-Sal Fina Lavada Seca X 25 Kg D.A.</t>
  </si>
  <si>
    <t>260900-Sal Fina Lavada Seca X 25 Kg D.A.</t>
  </si>
  <si>
    <t>361907-Sal Gsa.Lav.Cent.Big-Bag  X1000 D.A.</t>
  </si>
  <si>
    <t>Listado de Mercadería 01/05/2022 hasta 31/05/2022</t>
  </si>
  <si>
    <t>26,70</t>
  </si>
  <si>
    <t>2.000,00</t>
  </si>
  <si>
    <t>PAmpa</t>
  </si>
  <si>
    <t>OA 48</t>
  </si>
  <si>
    <t>28,56</t>
  </si>
  <si>
    <t>28,26</t>
  </si>
  <si>
    <t xml:space="preserve"> 2878-TEXTIL AMESUD S.A.</t>
  </si>
  <si>
    <t>28,86</t>
  </si>
  <si>
    <t xml:space="preserve"> 5692-DISTRIBUIDORA DC SRL</t>
  </si>
  <si>
    <t>NC x 10 bs</t>
  </si>
  <si>
    <t>27,28</t>
  </si>
  <si>
    <t>28,12</t>
  </si>
  <si>
    <t xml:space="preserve"> 1435-INDEPENDENCIA S.R.L.</t>
  </si>
  <si>
    <t>0,00</t>
  </si>
  <si>
    <t>SACCON</t>
  </si>
  <si>
    <t xml:space="preserve"> 4236-LAMBEZAT  NATALIA LAURA</t>
  </si>
  <si>
    <t xml:space="preserve"> 4502-JORGE Y FRANCISCO OTRANTO SA</t>
  </si>
  <si>
    <t>30,54</t>
  </si>
  <si>
    <t>27,56</t>
  </si>
  <si>
    <t xml:space="preserve"> 2860-FRANVITEX SRL</t>
  </si>
  <si>
    <t>27,90</t>
  </si>
  <si>
    <t>3.682,00</t>
  </si>
  <si>
    <t>es 31100 c piedras</t>
  </si>
  <si>
    <t>27,00</t>
  </si>
  <si>
    <t xml:space="preserve"> 60-DOS ANCLAS S.A.(M)</t>
  </si>
  <si>
    <t>dep coki</t>
  </si>
  <si>
    <t>SOIidus</t>
  </si>
  <si>
    <t xml:space="preserve"> 3300-BECA SA</t>
  </si>
  <si>
    <t>26,16</t>
  </si>
  <si>
    <t>28,80</t>
  </si>
  <si>
    <t xml:space="preserve"> 5526-AGROISME SA</t>
  </si>
  <si>
    <t>Venturi</t>
  </si>
  <si>
    <t>28,35</t>
  </si>
  <si>
    <t xml:space="preserve"> 3240-ESTAMPADOS RIOPLATENSE S.A</t>
  </si>
  <si>
    <t xml:space="preserve"> 3726-LABORATORIOS ECOVITA SA</t>
  </si>
  <si>
    <t>GONZALITO</t>
  </si>
  <si>
    <t xml:space="preserve"> 5758-MINERA ANDINA DEL SOL SRL</t>
  </si>
  <si>
    <t>Funes</t>
  </si>
  <si>
    <t>27,70</t>
  </si>
  <si>
    <t>2.200,00</t>
  </si>
  <si>
    <t xml:space="preserve"> 4871-SINERGIUM BIOTECH SA</t>
  </si>
  <si>
    <t>27,32</t>
  </si>
  <si>
    <t xml:space="preserve"> 5296-HUMMER SA</t>
  </si>
  <si>
    <t>PROPIO</t>
  </si>
  <si>
    <t xml:space="preserve"> 5779-GLOBAL FOOD S.R.L.</t>
  </si>
  <si>
    <t xml:space="preserve"> 6270-Consorcio Industrias Lácteas Pampeanas</t>
  </si>
  <si>
    <t>27,24</t>
  </si>
  <si>
    <t>28,92</t>
  </si>
  <si>
    <t>27,92</t>
  </si>
  <si>
    <t xml:space="preserve"> 5371-HECTOR E. NAVARRO SRL</t>
  </si>
  <si>
    <t>28,78</t>
  </si>
  <si>
    <t>28,48</t>
  </si>
  <si>
    <t>28,94</t>
  </si>
  <si>
    <t xml:space="preserve"> 5696-FAILAR SOCIEDAD ANONIMA</t>
  </si>
  <si>
    <t xml:space="preserve"> 2921-ORDINES JORGE PEDRO</t>
  </si>
  <si>
    <t xml:space="preserve"> 4891-SANZO RICARDO OSVALDO</t>
  </si>
  <si>
    <t xml:space="preserve"> 5902-La Amada S.A.S</t>
  </si>
  <si>
    <t>9,14</t>
  </si>
  <si>
    <t>Orellano</t>
  </si>
  <si>
    <t>28,50</t>
  </si>
  <si>
    <t>PArEDES</t>
  </si>
  <si>
    <t>25,74</t>
  </si>
  <si>
    <t>4.235,00</t>
  </si>
  <si>
    <t xml:space="preserve"> 5741-Ciprian Juan Carlos</t>
  </si>
  <si>
    <t>28,62</t>
  </si>
  <si>
    <t>Gonzalez</t>
  </si>
  <si>
    <t>26,04</t>
  </si>
  <si>
    <t>28,84</t>
  </si>
  <si>
    <t>2.400,00</t>
  </si>
  <si>
    <t xml:space="preserve"> 4296-ROMANHA  SRL</t>
  </si>
  <si>
    <t xml:space="preserve"> 5898-Distribuidora Senderos SRL</t>
  </si>
  <si>
    <t xml:space="preserve"> 6238-GRUPO AGRINCO SRL</t>
  </si>
  <si>
    <t xml:space="preserve"> 2682-EL ALGARROBO SRL</t>
  </si>
  <si>
    <t>NC DA</t>
  </si>
  <si>
    <t xml:space="preserve"> 4648-MONTORO RICARDO RAMON</t>
  </si>
  <si>
    <t xml:space="preserve"> 6258-CONFIGLOBAL SOCIEDAD ANONIMA</t>
  </si>
  <si>
    <t>Bustamante</t>
  </si>
  <si>
    <t>36396NC2465</t>
  </si>
  <si>
    <t>28,98</t>
  </si>
  <si>
    <t>VENturi</t>
  </si>
  <si>
    <t>36396/ND950</t>
  </si>
  <si>
    <t>40.000,00</t>
  </si>
  <si>
    <t>24,80</t>
  </si>
  <si>
    <t>SAN Rafael</t>
  </si>
  <si>
    <t xml:space="preserve"> 5674-PAN AMERICAN ENERGY,  S.L.,SUCURSAL ARGENTINA</t>
  </si>
  <si>
    <t>29,58</t>
  </si>
  <si>
    <t xml:space="preserve"> 4188-ITALCOLORE SA</t>
  </si>
  <si>
    <t>29,24</t>
  </si>
  <si>
    <t xml:space="preserve"> 5626-MACGUI INDUSTRIAL SA</t>
  </si>
  <si>
    <t>28,64</t>
  </si>
  <si>
    <t>27,30</t>
  </si>
  <si>
    <t>2.500,00</t>
  </si>
  <si>
    <t>EL PAmpa</t>
  </si>
  <si>
    <t xml:space="preserve"> 6233-FRIGORIFICO ANGELANI S A</t>
  </si>
  <si>
    <t>27,16</t>
  </si>
  <si>
    <t>28,72</t>
  </si>
  <si>
    <t>2.250,00</t>
  </si>
  <si>
    <t xml:space="preserve"> 4428-DURANG SRL</t>
  </si>
  <si>
    <t>venturi</t>
  </si>
  <si>
    <t>SOlIDUS</t>
  </si>
  <si>
    <t>29,30</t>
  </si>
  <si>
    <t xml:space="preserve"> 5481-BASLOG SRL</t>
  </si>
  <si>
    <t>28,00</t>
  </si>
  <si>
    <t>2.700,00</t>
  </si>
  <si>
    <t xml:space="preserve"> 5587-CIA AVICOLA SA</t>
  </si>
  <si>
    <t>28,90</t>
  </si>
  <si>
    <t>Gonzalito</t>
  </si>
  <si>
    <t>29,25</t>
  </si>
  <si>
    <t>28,58</t>
  </si>
  <si>
    <t>28,30</t>
  </si>
  <si>
    <t>VIDELA</t>
  </si>
  <si>
    <t>Dep Solidus</t>
  </si>
  <si>
    <t>SOldius</t>
  </si>
  <si>
    <t>28,06</t>
  </si>
  <si>
    <t>OA 49</t>
  </si>
  <si>
    <t>30,84</t>
  </si>
  <si>
    <t xml:space="preserve"> 3196-SYMRISE S.R.L.</t>
  </si>
  <si>
    <t>PROP</t>
  </si>
  <si>
    <t xml:space="preserve"> 6286-BARCELO YLLANES EDUARDO RAMON</t>
  </si>
  <si>
    <t>FALTA NC DA</t>
  </si>
  <si>
    <t>26,88</t>
  </si>
  <si>
    <t>OC 5829542</t>
  </si>
  <si>
    <t>OC 5831488</t>
  </si>
  <si>
    <t>27,98</t>
  </si>
  <si>
    <t xml:space="preserve"> 4571-FRIGORIFICO RIOSMA SA</t>
  </si>
  <si>
    <t>factura x 21 bb</t>
  </si>
  <si>
    <t>24,58</t>
  </si>
  <si>
    <t xml:space="preserve"> 4381-PROVEEDURIA SAN FRANCISCO SRL</t>
  </si>
  <si>
    <t>falta NC DA</t>
  </si>
  <si>
    <t xml:space="preserve"> 6174-AGROINDUSTRIAS LA ESPAÑOLA S A</t>
  </si>
  <si>
    <t>Serrano</t>
  </si>
  <si>
    <t>PIro</t>
  </si>
  <si>
    <t xml:space="preserve"> 6269-MARTINEZ LEANDRO DAMIAN</t>
  </si>
  <si>
    <t>24,84</t>
  </si>
  <si>
    <t xml:space="preserve"> 5875-CERSOSIMO  JORGE ALBERTO</t>
  </si>
  <si>
    <t>Ortega</t>
  </si>
  <si>
    <t>36625ND951</t>
  </si>
  <si>
    <t>27,64</t>
  </si>
  <si>
    <t xml:space="preserve"> 5744-PERFORMANCE SPECIALTY PRODUCTS ARGENTINA SAU</t>
  </si>
  <si>
    <t>29,32</t>
  </si>
  <si>
    <t xml:space="preserve"> 5948-BERNESA S.A.C.I.</t>
  </si>
  <si>
    <t>27,94</t>
  </si>
  <si>
    <t>Precio Observada</t>
  </si>
  <si>
    <t xml:space="preserve"> 4609-AL.ED.ER. SA</t>
  </si>
  <si>
    <t>Gonzpalez</t>
  </si>
  <si>
    <t>24,08</t>
  </si>
  <si>
    <t>MAxiklak</t>
  </si>
  <si>
    <t xml:space="preserve"> 2089-BARRICK EXPLORACIONES ARGENTINA S A</t>
  </si>
  <si>
    <t>Vicente</t>
  </si>
  <si>
    <t>23,80</t>
  </si>
  <si>
    <t>Ríos</t>
  </si>
  <si>
    <t>27,46</t>
  </si>
  <si>
    <t>SOlIuds</t>
  </si>
  <si>
    <t>Gachinat</t>
  </si>
  <si>
    <t>27,50</t>
  </si>
  <si>
    <t>2.800,00</t>
  </si>
  <si>
    <t xml:space="preserve"> 6278-PARMA  MARTIN DARIO</t>
  </si>
  <si>
    <t>Rto. Parma Quim 5796</t>
  </si>
  <si>
    <t>27,68</t>
  </si>
  <si>
    <t>Sal obs- Lot B300322</t>
  </si>
  <si>
    <t>No recibida</t>
  </si>
  <si>
    <t xml:space="preserve"> 5770-SIMPLOT ARGENTINA SRL</t>
  </si>
  <si>
    <t>9,70</t>
  </si>
  <si>
    <t>28,96</t>
  </si>
  <si>
    <t>28,52</t>
  </si>
  <si>
    <t>287100-Sal Impalpable X 25 Kg D.A.</t>
  </si>
  <si>
    <t>14100-Sal Gruesa B. Bag X 1000 K.D.A.</t>
  </si>
  <si>
    <t>117100-Sal Ent.Lav.Seca B.Bag X 1200 Kg D.A.</t>
  </si>
  <si>
    <t>260507-Sal Fina Lavada Seca X 25 Kg D.A.</t>
  </si>
  <si>
    <t>15907-Sal Gruesa Común x 50 kg D.A.</t>
  </si>
  <si>
    <t>43146-Sal Fina Yodada x 25 Kg. D.A.</t>
  </si>
  <si>
    <t>15507-Sal Gruesa Común x 50 kg D.A.</t>
  </si>
  <si>
    <t>35507-Sal Entrefina Común x 50 kg D.A.</t>
  </si>
  <si>
    <t>62600-Sal Entrefina Seca Yodada x 5 kg.D.A.</t>
  </si>
  <si>
    <t>63600-Sal Fina Seca Yodada x 5 kg. D.A.</t>
  </si>
  <si>
    <t>113907-Sal Gsa.Lav.Sec B.BAG X 1000 D.A.</t>
  </si>
  <si>
    <t>360100-Sal Gruesa Lavada Centrifugada D.A.</t>
  </si>
  <si>
    <t>362900-Sal  Entrefina Especial D.A.</t>
  </si>
  <si>
    <t>63900-Sal Fina Seca Yodada x 5 kg.D.A.</t>
  </si>
  <si>
    <t>220507-Sal Gsa.Lav.Seca x 25 kg. D.A.</t>
  </si>
  <si>
    <t>14507-Sal Gruesa B. Bag X 1000 K.D.A.</t>
  </si>
  <si>
    <t>113900-Sal Gsa.Lav.Sec B.BAG X 1000 D.A.</t>
  </si>
  <si>
    <t>361100-Sal Gsa.Lav.Cent.Big-Bag  X1000 D.A.</t>
  </si>
  <si>
    <t>360507-Sal Gruesa Lavada Centrifugada D.A.</t>
  </si>
  <si>
    <t>260907-Sal Fina Lavada Seca X 25 Kg D.A.</t>
  </si>
  <si>
    <t>240507-Sal Entrefina Lav.Seca X 25 Kg.D.A.</t>
  </si>
  <si>
    <t>Tipo de sal</t>
  </si>
  <si>
    <t>Precio Agosto</t>
  </si>
  <si>
    <t>Bonif 1</t>
  </si>
  <si>
    <t>Bonif 2</t>
  </si>
  <si>
    <t>Bonif 7%</t>
  </si>
  <si>
    <t>Base</t>
  </si>
  <si>
    <t>Actual</t>
  </si>
  <si>
    <t>Diferencia</t>
  </si>
  <si>
    <t>Importe x item</t>
  </si>
  <si>
    <t>235100-Sal Gsa.Lav.Seca x 25 kg. D.A.</t>
  </si>
  <si>
    <t>Para el código 235/ Corresponde NC por $9281,92 + Impuestos</t>
  </si>
  <si>
    <t>Para el código 14/ Corresponde NC por $9994,53 + Impuestos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</si>
</sst>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BDBD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9"/>
  <sheetViews>
    <sheetView tabSelected="1" workbookViewId="0">
      <selection activeCell="J21" sqref="J21"/>
    </sheetView>
  </sheetViews>
  <sheetFormatPr baseColWidth="10" defaultRowHeight="15" x14ac:dyDescent="0.25"/>
  <sheetData>
    <row r="1" spans="1:6" x14ac:dyDescent="0.25">
      <c r="B1">
        <v>15</v>
      </c>
      <c r="C1">
        <v>115</v>
      </c>
      <c r="D1">
        <v>35</v>
      </c>
      <c r="E1">
        <v>235</v>
      </c>
      <c r="F1">
        <v>14</v>
      </c>
    </row>
    <row r="2" spans="1:6" x14ac:dyDescent="0.25">
      <c r="A2" t="s">
        <v>234</v>
      </c>
      <c r="B2">
        <v>260</v>
      </c>
      <c r="C2">
        <v>10</v>
      </c>
      <c r="D2">
        <v>110</v>
      </c>
      <c r="E2">
        <v>0</v>
      </c>
      <c r="F2">
        <v>20</v>
      </c>
    </row>
    <row r="3" spans="1:6" x14ac:dyDescent="0.25">
      <c r="A3" t="s">
        <v>235</v>
      </c>
      <c r="B3">
        <v>175</v>
      </c>
      <c r="C3">
        <v>0</v>
      </c>
      <c r="D3">
        <v>34</v>
      </c>
      <c r="E3">
        <v>12</v>
      </c>
      <c r="F3">
        <v>38</v>
      </c>
    </row>
    <row r="4" spans="1:6" x14ac:dyDescent="0.25">
      <c r="A4" t="s">
        <v>236</v>
      </c>
      <c r="B4">
        <v>-85</v>
      </c>
      <c r="C4">
        <v>-10</v>
      </c>
      <c r="D4">
        <v>-76</v>
      </c>
      <c r="E4">
        <v>12</v>
      </c>
      <c r="F4">
        <v>18</v>
      </c>
    </row>
    <row r="5" spans="1:6" x14ac:dyDescent="0.25">
      <c r="A5" t="s">
        <v>237</v>
      </c>
      <c r="B5">
        <v>0</v>
      </c>
      <c r="C5">
        <v>0</v>
      </c>
      <c r="D5">
        <v>0</v>
      </c>
      <c r="E5">
        <v>9281.9160000000011</v>
      </c>
      <c r="F5">
        <v>9994.5316800000019</v>
      </c>
    </row>
    <row r="7" spans="1:6" ht="15.75" x14ac:dyDescent="0.25">
      <c r="A7" s="5" t="s">
        <v>239</v>
      </c>
      <c r="B7" s="5"/>
      <c r="C7" s="5"/>
      <c r="D7" s="5"/>
      <c r="E7" s="5"/>
      <c r="F7" s="5"/>
    </row>
    <row r="9" spans="1:6" ht="15.75" x14ac:dyDescent="0.25">
      <c r="A9" s="5" t="s">
        <v>240</v>
      </c>
      <c r="B9" s="5"/>
      <c r="C9" s="5"/>
      <c r="D9" s="5"/>
      <c r="E9" s="5"/>
      <c r="F9" s="5"/>
    </row>
  </sheetData>
  <mergeCells count="2">
    <mergeCell ref="A7:F7"/>
    <mergeCell ref="A9:F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F0"/>
  </sheetPr>
  <dimension ref="A1:F5"/>
  <sheetViews>
    <sheetView workbookViewId="0">
      <selection activeCell="E22" sqref="E22"/>
    </sheetView>
  </sheetViews>
  <sheetFormatPr baseColWidth="10" defaultRowHeight="15" x14ac:dyDescent="0.25"/>
  <cols>
    <col min="1" max="1" width="13.140625" bestFit="1" customWidth="1"/>
  </cols>
  <sheetData>
    <row r="1" spans="1:6" x14ac:dyDescent="0.25">
      <c r="A1" s="3" t="s">
        <v>229</v>
      </c>
      <c r="B1" s="3">
        <v>14</v>
      </c>
      <c r="C1" s="3">
        <v>15</v>
      </c>
      <c r="D1" s="3">
        <v>35</v>
      </c>
      <c r="E1" s="3">
        <v>115</v>
      </c>
      <c r="F1" s="3">
        <v>235</v>
      </c>
    </row>
    <row r="2" spans="1:6" hidden="1" x14ac:dyDescent="0.25">
      <c r="A2" t="s">
        <v>231</v>
      </c>
      <c r="B2">
        <v>0.75</v>
      </c>
      <c r="C2">
        <v>0.75</v>
      </c>
      <c r="D2">
        <v>0.75</v>
      </c>
      <c r="E2">
        <v>0.75</v>
      </c>
      <c r="F2">
        <v>0.75</v>
      </c>
    </row>
    <row r="3" spans="1:6" hidden="1" x14ac:dyDescent="0.25">
      <c r="A3" t="s">
        <v>232</v>
      </c>
      <c r="B3">
        <v>0.9</v>
      </c>
      <c r="C3">
        <v>1</v>
      </c>
      <c r="D3">
        <v>1</v>
      </c>
      <c r="E3">
        <v>1</v>
      </c>
      <c r="F3">
        <v>1</v>
      </c>
    </row>
    <row r="4" spans="1:6" hidden="1" x14ac:dyDescent="0.25">
      <c r="A4" t="s">
        <v>233</v>
      </c>
      <c r="B4">
        <v>7.0000000000000007E-2</v>
      </c>
      <c r="C4">
        <v>7.0000000000000007E-2</v>
      </c>
      <c r="D4">
        <v>7.0000000000000007E-2</v>
      </c>
      <c r="E4">
        <v>7.0000000000000007E-2</v>
      </c>
      <c r="F4">
        <v>7.0000000000000007E-2</v>
      </c>
    </row>
    <row r="5" spans="1:6" x14ac:dyDescent="0.25">
      <c r="A5" t="s">
        <v>230</v>
      </c>
      <c r="B5" s="4">
        <f>((11751.36*B2)*B3)*B4</f>
        <v>555.2517600000001</v>
      </c>
      <c r="C5" s="4">
        <f>((539.51*20*C2)*C3)*C4</f>
        <v>566.48550000000012</v>
      </c>
      <c r="D5" s="4">
        <f>((558.14*20*D2)*D3)*D4</f>
        <v>586.04699999999991</v>
      </c>
      <c r="E5" s="4">
        <f>((354.21*40*E2)*E3)*E4</f>
        <v>743.84100000000001</v>
      </c>
      <c r="F5" s="4">
        <f>((368.33*40*F2)*F3)*F4</f>
        <v>773.49300000000005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79"/>
  <sheetViews>
    <sheetView workbookViewId="0">
      <selection activeCell="A3" sqref="A3:P179"/>
    </sheetView>
  </sheetViews>
  <sheetFormatPr baseColWidth="10" defaultRowHeight="15" x14ac:dyDescent="0.25"/>
  <cols>
    <col min="10" max="10" width="11.42578125" style="2"/>
  </cols>
  <sheetData>
    <row r="1" spans="1:16" x14ac:dyDescent="0.25">
      <c r="A1" t="s">
        <v>42</v>
      </c>
    </row>
    <row r="2" spans="1:16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s="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</row>
    <row r="3" spans="1:16" x14ac:dyDescent="0.25">
      <c r="A3" s="1">
        <v>44682</v>
      </c>
      <c r="B3" t="s">
        <v>16</v>
      </c>
      <c r="C3">
        <v>76552</v>
      </c>
      <c r="D3" t="s">
        <v>17</v>
      </c>
      <c r="E3">
        <v>31323</v>
      </c>
      <c r="F3" t="s">
        <v>43</v>
      </c>
      <c r="G3" t="s">
        <v>44</v>
      </c>
      <c r="H3" t="s">
        <v>45</v>
      </c>
      <c r="I3" t="s">
        <v>238</v>
      </c>
      <c r="J3" s="2">
        <v>500</v>
      </c>
      <c r="K3" t="s">
        <v>19</v>
      </c>
      <c r="L3" s="1">
        <v>44683</v>
      </c>
      <c r="M3" t="s">
        <v>17</v>
      </c>
      <c r="N3">
        <v>34740</v>
      </c>
      <c r="O3" t="s">
        <v>17</v>
      </c>
      <c r="P3">
        <v>245150</v>
      </c>
    </row>
    <row r="4" spans="1:16" x14ac:dyDescent="0.25">
      <c r="A4" s="1">
        <v>44682</v>
      </c>
      <c r="B4" t="s">
        <v>16</v>
      </c>
      <c r="C4">
        <v>76553</v>
      </c>
      <c r="D4" t="s">
        <v>17</v>
      </c>
      <c r="E4">
        <v>31323</v>
      </c>
      <c r="F4" t="s">
        <v>43</v>
      </c>
      <c r="G4" t="s">
        <v>44</v>
      </c>
      <c r="H4" t="s">
        <v>45</v>
      </c>
      <c r="I4" t="s">
        <v>35</v>
      </c>
      <c r="J4" s="2">
        <v>150</v>
      </c>
      <c r="K4" t="s">
        <v>19</v>
      </c>
      <c r="L4" s="1">
        <v>44683</v>
      </c>
      <c r="M4" t="s">
        <v>46</v>
      </c>
      <c r="N4">
        <v>34741</v>
      </c>
      <c r="O4" t="s">
        <v>17</v>
      </c>
      <c r="P4">
        <v>245267</v>
      </c>
    </row>
    <row r="5" spans="1:16" x14ac:dyDescent="0.25">
      <c r="A5" s="1">
        <v>44682</v>
      </c>
      <c r="B5" t="s">
        <v>16</v>
      </c>
      <c r="C5">
        <v>76551</v>
      </c>
      <c r="D5" t="s">
        <v>17</v>
      </c>
      <c r="E5">
        <v>31323</v>
      </c>
      <c r="F5" t="s">
        <v>43</v>
      </c>
      <c r="G5" t="s">
        <v>44</v>
      </c>
      <c r="H5" t="s">
        <v>45</v>
      </c>
      <c r="I5" t="s">
        <v>39</v>
      </c>
      <c r="J5" s="2">
        <v>400</v>
      </c>
      <c r="K5" t="s">
        <v>19</v>
      </c>
      <c r="L5" s="1">
        <v>44683</v>
      </c>
      <c r="M5" t="s">
        <v>17</v>
      </c>
      <c r="N5">
        <v>34739</v>
      </c>
      <c r="O5" t="s">
        <v>17</v>
      </c>
      <c r="P5">
        <v>244901</v>
      </c>
    </row>
    <row r="6" spans="1:16" x14ac:dyDescent="0.25">
      <c r="A6" s="1">
        <v>44683</v>
      </c>
      <c r="B6" t="s">
        <v>16</v>
      </c>
      <c r="C6">
        <v>76598</v>
      </c>
      <c r="D6" t="s">
        <v>17</v>
      </c>
      <c r="E6">
        <v>3440</v>
      </c>
      <c r="F6" t="s">
        <v>47</v>
      </c>
      <c r="G6" t="s">
        <v>44</v>
      </c>
      <c r="H6" t="s">
        <v>18</v>
      </c>
      <c r="I6" t="s">
        <v>35</v>
      </c>
      <c r="J6" s="2">
        <v>500</v>
      </c>
      <c r="K6" t="s">
        <v>19</v>
      </c>
      <c r="L6" s="1">
        <v>44685</v>
      </c>
      <c r="M6" t="s">
        <v>17</v>
      </c>
      <c r="N6">
        <v>34776</v>
      </c>
      <c r="O6" t="s">
        <v>17</v>
      </c>
      <c r="P6">
        <v>246517</v>
      </c>
    </row>
    <row r="7" spans="1:16" x14ac:dyDescent="0.25">
      <c r="A7" s="1">
        <v>44683</v>
      </c>
      <c r="B7" t="s">
        <v>16</v>
      </c>
      <c r="C7">
        <v>76598</v>
      </c>
      <c r="D7" t="s">
        <v>17</v>
      </c>
      <c r="E7">
        <v>3440</v>
      </c>
      <c r="F7" t="s">
        <v>47</v>
      </c>
      <c r="G7" t="s">
        <v>44</v>
      </c>
      <c r="H7" t="s">
        <v>18</v>
      </c>
      <c r="I7" t="s">
        <v>39</v>
      </c>
      <c r="J7" s="2">
        <v>600</v>
      </c>
      <c r="K7" t="s">
        <v>19</v>
      </c>
      <c r="L7" s="1">
        <v>44685</v>
      </c>
      <c r="M7" t="s">
        <v>17</v>
      </c>
      <c r="N7">
        <v>34776</v>
      </c>
      <c r="O7" t="s">
        <v>17</v>
      </c>
      <c r="P7">
        <v>246517</v>
      </c>
    </row>
    <row r="8" spans="1:16" x14ac:dyDescent="0.25">
      <c r="A8" s="1">
        <v>44683</v>
      </c>
      <c r="B8" t="s">
        <v>16</v>
      </c>
      <c r="C8">
        <v>76575</v>
      </c>
      <c r="D8">
        <v>10486</v>
      </c>
      <c r="E8">
        <v>3440</v>
      </c>
      <c r="F8" t="s">
        <v>48</v>
      </c>
      <c r="G8" t="s">
        <v>44</v>
      </c>
      <c r="H8" t="s">
        <v>18</v>
      </c>
      <c r="I8" t="s">
        <v>36</v>
      </c>
      <c r="J8" s="2">
        <v>50</v>
      </c>
      <c r="K8" t="s">
        <v>49</v>
      </c>
      <c r="L8" s="1">
        <v>44685</v>
      </c>
      <c r="M8" t="s">
        <v>46</v>
      </c>
      <c r="N8">
        <v>34758</v>
      </c>
      <c r="O8">
        <v>36371</v>
      </c>
      <c r="P8">
        <v>245267</v>
      </c>
    </row>
    <row r="9" spans="1:16" x14ac:dyDescent="0.25">
      <c r="A9" s="1">
        <v>44683</v>
      </c>
      <c r="B9" t="s">
        <v>16</v>
      </c>
      <c r="C9">
        <v>76576</v>
      </c>
      <c r="D9">
        <v>10486</v>
      </c>
      <c r="E9">
        <v>3440</v>
      </c>
      <c r="F9" t="s">
        <v>48</v>
      </c>
      <c r="G9" t="s">
        <v>44</v>
      </c>
      <c r="H9" t="s">
        <v>18</v>
      </c>
      <c r="I9" t="s">
        <v>36</v>
      </c>
      <c r="J9" s="2">
        <v>750</v>
      </c>
      <c r="K9" t="s">
        <v>49</v>
      </c>
      <c r="L9" s="1">
        <v>44685</v>
      </c>
      <c r="M9" t="s">
        <v>17</v>
      </c>
      <c r="N9">
        <v>34759</v>
      </c>
      <c r="O9">
        <v>36371</v>
      </c>
      <c r="P9">
        <v>246146</v>
      </c>
    </row>
    <row r="10" spans="1:16" x14ac:dyDescent="0.25">
      <c r="A10" s="1">
        <v>44683</v>
      </c>
      <c r="B10" t="s">
        <v>16</v>
      </c>
      <c r="C10">
        <v>76576</v>
      </c>
      <c r="D10">
        <v>10485</v>
      </c>
      <c r="E10">
        <v>3440</v>
      </c>
      <c r="F10" t="s">
        <v>50</v>
      </c>
      <c r="G10" t="s">
        <v>44</v>
      </c>
      <c r="H10" t="s">
        <v>18</v>
      </c>
      <c r="I10" t="s">
        <v>36</v>
      </c>
      <c r="J10" s="2">
        <v>150</v>
      </c>
      <c r="K10" t="s">
        <v>51</v>
      </c>
      <c r="L10" s="1">
        <v>44685</v>
      </c>
      <c r="M10" t="s">
        <v>52</v>
      </c>
      <c r="N10">
        <v>34759</v>
      </c>
      <c r="O10">
        <v>36370</v>
      </c>
      <c r="P10">
        <v>246146</v>
      </c>
    </row>
    <row r="11" spans="1:16" x14ac:dyDescent="0.25">
      <c r="A11" s="1">
        <v>44683</v>
      </c>
      <c r="B11" t="s">
        <v>16</v>
      </c>
      <c r="C11">
        <v>76576</v>
      </c>
      <c r="D11">
        <v>10485</v>
      </c>
      <c r="E11">
        <v>3440</v>
      </c>
      <c r="F11" t="s">
        <v>50</v>
      </c>
      <c r="G11" t="s">
        <v>44</v>
      </c>
      <c r="H11" t="s">
        <v>18</v>
      </c>
      <c r="I11" t="s">
        <v>40</v>
      </c>
      <c r="J11" s="2">
        <v>150</v>
      </c>
      <c r="K11" t="s">
        <v>51</v>
      </c>
      <c r="L11" s="1">
        <v>44685</v>
      </c>
      <c r="M11" t="s">
        <v>17</v>
      </c>
      <c r="N11">
        <v>34759</v>
      </c>
      <c r="O11">
        <v>36370</v>
      </c>
      <c r="P11">
        <v>246146</v>
      </c>
    </row>
    <row r="12" spans="1:16" x14ac:dyDescent="0.25">
      <c r="A12" s="1">
        <v>44684</v>
      </c>
      <c r="B12" t="s">
        <v>16</v>
      </c>
      <c r="C12">
        <v>76623</v>
      </c>
      <c r="D12" t="s">
        <v>17</v>
      </c>
      <c r="E12">
        <v>31462</v>
      </c>
      <c r="F12" t="s">
        <v>53</v>
      </c>
      <c r="G12" t="s">
        <v>44</v>
      </c>
      <c r="H12" t="s">
        <v>45</v>
      </c>
      <c r="I12" t="s">
        <v>35</v>
      </c>
      <c r="J12" s="2">
        <v>300</v>
      </c>
      <c r="K12" t="s">
        <v>19</v>
      </c>
      <c r="L12" s="1">
        <v>44685</v>
      </c>
      <c r="M12" t="s">
        <v>17</v>
      </c>
      <c r="N12">
        <v>34795</v>
      </c>
      <c r="O12" t="s">
        <v>17</v>
      </c>
      <c r="P12">
        <v>245611</v>
      </c>
    </row>
    <row r="13" spans="1:16" x14ac:dyDescent="0.25">
      <c r="A13" s="1">
        <v>44684</v>
      </c>
      <c r="B13" t="s">
        <v>16</v>
      </c>
      <c r="C13">
        <v>76600</v>
      </c>
      <c r="D13" t="s">
        <v>17</v>
      </c>
      <c r="E13">
        <v>3440</v>
      </c>
      <c r="F13" t="s">
        <v>54</v>
      </c>
      <c r="G13" t="s">
        <v>44</v>
      </c>
      <c r="H13" t="s">
        <v>18</v>
      </c>
      <c r="I13" t="s">
        <v>39</v>
      </c>
      <c r="J13" s="2">
        <v>600</v>
      </c>
      <c r="K13" t="s">
        <v>19</v>
      </c>
      <c r="L13" s="1">
        <v>44686</v>
      </c>
      <c r="M13" t="s">
        <v>17</v>
      </c>
      <c r="N13">
        <v>34778</v>
      </c>
      <c r="O13" t="s">
        <v>17</v>
      </c>
      <c r="P13">
        <v>246062</v>
      </c>
    </row>
    <row r="14" spans="1:16" x14ac:dyDescent="0.25">
      <c r="A14" s="1">
        <v>44684</v>
      </c>
      <c r="B14" t="s">
        <v>16</v>
      </c>
      <c r="C14">
        <v>76624</v>
      </c>
      <c r="D14" t="s">
        <v>17</v>
      </c>
      <c r="E14">
        <v>31462</v>
      </c>
      <c r="F14" t="s">
        <v>53</v>
      </c>
      <c r="G14" t="s">
        <v>44</v>
      </c>
      <c r="H14" t="s">
        <v>45</v>
      </c>
      <c r="I14" t="s">
        <v>39</v>
      </c>
      <c r="J14" s="2">
        <v>250</v>
      </c>
      <c r="K14" t="s">
        <v>19</v>
      </c>
      <c r="L14" s="1">
        <v>44685</v>
      </c>
      <c r="M14" t="s">
        <v>17</v>
      </c>
      <c r="N14">
        <v>34796</v>
      </c>
      <c r="O14" t="s">
        <v>17</v>
      </c>
      <c r="P14">
        <v>246147</v>
      </c>
    </row>
    <row r="15" spans="1:16" x14ac:dyDescent="0.25">
      <c r="A15" s="1">
        <v>44684</v>
      </c>
      <c r="B15" t="s">
        <v>16</v>
      </c>
      <c r="C15">
        <v>76624</v>
      </c>
      <c r="D15" t="s">
        <v>17</v>
      </c>
      <c r="E15">
        <v>31462</v>
      </c>
      <c r="F15" t="s">
        <v>53</v>
      </c>
      <c r="G15" t="s">
        <v>44</v>
      </c>
      <c r="H15" t="s">
        <v>45</v>
      </c>
      <c r="I15" t="s">
        <v>208</v>
      </c>
      <c r="J15" s="2">
        <v>200</v>
      </c>
      <c r="K15" t="s">
        <v>19</v>
      </c>
      <c r="L15" s="1">
        <v>44685</v>
      </c>
      <c r="M15" t="s">
        <v>17</v>
      </c>
      <c r="N15">
        <v>34796</v>
      </c>
      <c r="O15" t="s">
        <v>17</v>
      </c>
      <c r="P15">
        <v>246147</v>
      </c>
    </row>
    <row r="16" spans="1:16" x14ac:dyDescent="0.25">
      <c r="A16" s="1">
        <v>44684</v>
      </c>
      <c r="B16" t="s">
        <v>16</v>
      </c>
      <c r="C16">
        <v>76601</v>
      </c>
      <c r="D16">
        <v>10489</v>
      </c>
      <c r="E16">
        <v>3440</v>
      </c>
      <c r="F16" t="s">
        <v>54</v>
      </c>
      <c r="G16" t="s">
        <v>44</v>
      </c>
      <c r="H16" t="s">
        <v>18</v>
      </c>
      <c r="I16" t="s">
        <v>33</v>
      </c>
      <c r="J16" s="2">
        <v>250</v>
      </c>
      <c r="K16" t="s">
        <v>55</v>
      </c>
      <c r="L16" s="1">
        <v>44685</v>
      </c>
      <c r="M16" t="s">
        <v>17</v>
      </c>
      <c r="N16">
        <v>34779</v>
      </c>
      <c r="O16">
        <v>2</v>
      </c>
      <c r="P16">
        <v>246063</v>
      </c>
    </row>
    <row r="17" spans="1:16" x14ac:dyDescent="0.25">
      <c r="A17" s="1">
        <v>44684</v>
      </c>
      <c r="B17" t="s">
        <v>16</v>
      </c>
      <c r="C17">
        <v>76601</v>
      </c>
      <c r="D17">
        <v>10490</v>
      </c>
      <c r="E17">
        <v>3440</v>
      </c>
      <c r="F17" t="s">
        <v>54</v>
      </c>
      <c r="G17" t="s">
        <v>44</v>
      </c>
      <c r="H17" t="s">
        <v>18</v>
      </c>
      <c r="I17" t="s">
        <v>33</v>
      </c>
      <c r="J17" s="2">
        <v>250</v>
      </c>
      <c r="K17" t="s">
        <v>55</v>
      </c>
      <c r="L17" s="1">
        <v>44685</v>
      </c>
      <c r="M17" t="s">
        <v>17</v>
      </c>
      <c r="N17">
        <v>34779</v>
      </c>
      <c r="O17">
        <v>36425</v>
      </c>
      <c r="P17">
        <v>246063</v>
      </c>
    </row>
    <row r="18" spans="1:16" x14ac:dyDescent="0.25">
      <c r="A18" s="1">
        <v>44684</v>
      </c>
      <c r="B18" t="s">
        <v>16</v>
      </c>
      <c r="C18">
        <v>76599</v>
      </c>
      <c r="D18">
        <v>10488</v>
      </c>
      <c r="E18" t="s">
        <v>17</v>
      </c>
      <c r="F18" t="s">
        <v>56</v>
      </c>
      <c r="G18" t="s">
        <v>56</v>
      </c>
      <c r="H18" t="s">
        <v>57</v>
      </c>
      <c r="I18" t="s">
        <v>36</v>
      </c>
      <c r="J18" s="2">
        <v>200</v>
      </c>
      <c r="K18" t="s">
        <v>58</v>
      </c>
      <c r="L18" s="1">
        <v>44685</v>
      </c>
      <c r="M18" t="s">
        <v>17</v>
      </c>
      <c r="N18">
        <v>34777</v>
      </c>
      <c r="O18">
        <v>36372</v>
      </c>
      <c r="P18">
        <v>246649</v>
      </c>
    </row>
    <row r="19" spans="1:16" x14ac:dyDescent="0.25">
      <c r="A19" s="1">
        <v>44684</v>
      </c>
      <c r="B19" t="s">
        <v>16</v>
      </c>
      <c r="C19">
        <v>76599</v>
      </c>
      <c r="D19">
        <v>10488</v>
      </c>
      <c r="E19" t="s">
        <v>17</v>
      </c>
      <c r="F19" t="s">
        <v>56</v>
      </c>
      <c r="G19" t="s">
        <v>56</v>
      </c>
      <c r="H19" t="s">
        <v>57</v>
      </c>
      <c r="I19" t="s">
        <v>40</v>
      </c>
      <c r="J19" s="2">
        <v>900</v>
      </c>
      <c r="K19" t="s">
        <v>58</v>
      </c>
      <c r="L19" s="1">
        <v>44685</v>
      </c>
      <c r="M19" t="s">
        <v>17</v>
      </c>
      <c r="N19">
        <v>34777</v>
      </c>
      <c r="O19">
        <v>36372</v>
      </c>
      <c r="P19">
        <v>246649</v>
      </c>
    </row>
    <row r="20" spans="1:16" x14ac:dyDescent="0.25">
      <c r="A20" s="1">
        <v>44684</v>
      </c>
      <c r="B20" t="s">
        <v>16</v>
      </c>
      <c r="C20">
        <v>76624</v>
      </c>
      <c r="D20">
        <v>10491</v>
      </c>
      <c r="E20">
        <v>31462</v>
      </c>
      <c r="F20" t="s">
        <v>53</v>
      </c>
      <c r="G20" t="s">
        <v>44</v>
      </c>
      <c r="H20" t="s">
        <v>45</v>
      </c>
      <c r="I20" t="s">
        <v>33</v>
      </c>
      <c r="J20" s="2">
        <v>200</v>
      </c>
      <c r="K20" t="s">
        <v>59</v>
      </c>
      <c r="L20" s="1">
        <v>44685</v>
      </c>
      <c r="M20" t="s">
        <v>17</v>
      </c>
      <c r="N20">
        <v>34796</v>
      </c>
      <c r="O20">
        <v>36394</v>
      </c>
      <c r="P20">
        <v>246147</v>
      </c>
    </row>
    <row r="21" spans="1:16" x14ac:dyDescent="0.25">
      <c r="A21" s="1">
        <v>44684</v>
      </c>
      <c r="B21" t="s">
        <v>16</v>
      </c>
      <c r="C21">
        <v>76624</v>
      </c>
      <c r="D21">
        <v>10491</v>
      </c>
      <c r="E21">
        <v>31462</v>
      </c>
      <c r="F21" t="s">
        <v>53</v>
      </c>
      <c r="G21" t="s">
        <v>44</v>
      </c>
      <c r="H21" t="s">
        <v>45</v>
      </c>
      <c r="I21" t="s">
        <v>36</v>
      </c>
      <c r="J21" s="2">
        <v>100</v>
      </c>
      <c r="K21" t="s">
        <v>59</v>
      </c>
      <c r="L21" s="1">
        <v>44685</v>
      </c>
      <c r="M21" t="s">
        <v>17</v>
      </c>
      <c r="N21">
        <v>34796</v>
      </c>
      <c r="O21">
        <v>36394</v>
      </c>
      <c r="P21">
        <v>246147</v>
      </c>
    </row>
    <row r="22" spans="1:16" x14ac:dyDescent="0.25">
      <c r="A22" s="1">
        <v>44684</v>
      </c>
      <c r="B22" t="s">
        <v>25</v>
      </c>
      <c r="C22">
        <v>107409</v>
      </c>
      <c r="D22" t="s">
        <v>17</v>
      </c>
      <c r="E22" t="s">
        <v>17</v>
      </c>
      <c r="F22" t="s">
        <v>60</v>
      </c>
      <c r="G22" t="s">
        <v>56</v>
      </c>
      <c r="H22" t="s">
        <v>26</v>
      </c>
      <c r="I22" t="s">
        <v>34</v>
      </c>
      <c r="J22" s="2">
        <v>100</v>
      </c>
      <c r="K22" t="s">
        <v>19</v>
      </c>
      <c r="L22" s="1">
        <v>44714</v>
      </c>
      <c r="M22" t="s">
        <v>17</v>
      </c>
      <c r="N22">
        <v>23014</v>
      </c>
      <c r="O22" t="s">
        <v>17</v>
      </c>
      <c r="P22">
        <v>41230</v>
      </c>
    </row>
    <row r="23" spans="1:16" x14ac:dyDescent="0.25">
      <c r="A23" s="1">
        <v>44685</v>
      </c>
      <c r="B23" t="s">
        <v>16</v>
      </c>
      <c r="C23">
        <v>76635</v>
      </c>
      <c r="D23">
        <v>10492</v>
      </c>
      <c r="E23">
        <v>31421</v>
      </c>
      <c r="F23" t="s">
        <v>61</v>
      </c>
      <c r="G23" t="s">
        <v>44</v>
      </c>
      <c r="H23" t="s">
        <v>45</v>
      </c>
      <c r="I23" t="s">
        <v>36</v>
      </c>
      <c r="J23" s="2">
        <v>1050</v>
      </c>
      <c r="K23" t="s">
        <v>62</v>
      </c>
      <c r="L23" s="1">
        <v>44687</v>
      </c>
      <c r="M23" t="s">
        <v>17</v>
      </c>
      <c r="N23">
        <v>34801</v>
      </c>
      <c r="O23">
        <v>36427</v>
      </c>
      <c r="P23">
        <v>246515</v>
      </c>
    </row>
    <row r="24" spans="1:16" x14ac:dyDescent="0.25">
      <c r="A24" s="1">
        <v>44685</v>
      </c>
      <c r="B24" t="s">
        <v>25</v>
      </c>
      <c r="C24">
        <v>107182</v>
      </c>
      <c r="D24" t="s">
        <v>17</v>
      </c>
      <c r="E24">
        <v>32330</v>
      </c>
      <c r="F24" t="s">
        <v>63</v>
      </c>
      <c r="G24" t="s">
        <v>64</v>
      </c>
      <c r="H24" t="s">
        <v>26</v>
      </c>
      <c r="I24" t="s">
        <v>209</v>
      </c>
      <c r="J24" s="2">
        <v>14</v>
      </c>
      <c r="K24" t="s">
        <v>19</v>
      </c>
      <c r="L24" s="1">
        <v>44686</v>
      </c>
      <c r="M24" t="s">
        <v>65</v>
      </c>
      <c r="N24">
        <v>22900</v>
      </c>
      <c r="O24" t="s">
        <v>17</v>
      </c>
      <c r="P24">
        <v>40863</v>
      </c>
    </row>
    <row r="25" spans="1:16" x14ac:dyDescent="0.25">
      <c r="A25" s="1">
        <v>44685</v>
      </c>
      <c r="B25" t="s">
        <v>25</v>
      </c>
      <c r="C25">
        <v>107183</v>
      </c>
      <c r="D25" t="s">
        <v>17</v>
      </c>
      <c r="E25">
        <v>32330</v>
      </c>
      <c r="F25" t="s">
        <v>63</v>
      </c>
      <c r="G25" t="s">
        <v>64</v>
      </c>
      <c r="H25" t="s">
        <v>26</v>
      </c>
      <c r="I25" t="s">
        <v>210</v>
      </c>
      <c r="J25" s="2">
        <v>4</v>
      </c>
      <c r="K25" t="s">
        <v>19</v>
      </c>
      <c r="L25" s="1">
        <v>44686</v>
      </c>
      <c r="M25" t="s">
        <v>17</v>
      </c>
      <c r="N25">
        <v>22901</v>
      </c>
      <c r="O25" t="s">
        <v>17</v>
      </c>
      <c r="P25">
        <v>40865</v>
      </c>
    </row>
    <row r="26" spans="1:16" x14ac:dyDescent="0.25">
      <c r="A26" s="1">
        <v>44685</v>
      </c>
      <c r="B26" t="s">
        <v>25</v>
      </c>
      <c r="C26">
        <v>107181</v>
      </c>
      <c r="D26" t="s">
        <v>17</v>
      </c>
      <c r="E26">
        <v>32330</v>
      </c>
      <c r="F26" t="s">
        <v>63</v>
      </c>
      <c r="G26" t="s">
        <v>64</v>
      </c>
      <c r="H26" t="s">
        <v>26</v>
      </c>
      <c r="I26" t="s">
        <v>34</v>
      </c>
      <c r="J26" s="2">
        <v>300</v>
      </c>
      <c r="K26" t="s">
        <v>19</v>
      </c>
      <c r="L26" s="1">
        <v>44686</v>
      </c>
      <c r="M26" t="s">
        <v>17</v>
      </c>
      <c r="N26">
        <v>22899</v>
      </c>
      <c r="O26" t="s">
        <v>17</v>
      </c>
      <c r="P26">
        <v>40763</v>
      </c>
    </row>
    <row r="27" spans="1:16" x14ac:dyDescent="0.25">
      <c r="A27" s="1">
        <v>44685</v>
      </c>
      <c r="B27" t="s">
        <v>25</v>
      </c>
      <c r="C27">
        <v>107171</v>
      </c>
      <c r="D27" t="s">
        <v>17</v>
      </c>
      <c r="E27">
        <v>32313</v>
      </c>
      <c r="F27" t="s">
        <v>66</v>
      </c>
      <c r="G27" t="s">
        <v>64</v>
      </c>
      <c r="H27" t="s">
        <v>26</v>
      </c>
      <c r="I27" t="s">
        <v>39</v>
      </c>
      <c r="J27" s="2">
        <v>1000</v>
      </c>
      <c r="K27" t="s">
        <v>19</v>
      </c>
      <c r="L27" s="1">
        <v>44686</v>
      </c>
      <c r="M27" t="s">
        <v>17</v>
      </c>
      <c r="N27">
        <v>22895</v>
      </c>
      <c r="O27" t="s">
        <v>17</v>
      </c>
      <c r="P27">
        <v>40857</v>
      </c>
    </row>
    <row r="28" spans="1:16" x14ac:dyDescent="0.25">
      <c r="A28" s="1">
        <v>44685</v>
      </c>
      <c r="B28" t="s">
        <v>25</v>
      </c>
      <c r="C28">
        <v>107179</v>
      </c>
      <c r="D28" t="s">
        <v>17</v>
      </c>
      <c r="E28">
        <v>32314</v>
      </c>
      <c r="F28" t="s">
        <v>66</v>
      </c>
      <c r="G28" t="s">
        <v>64</v>
      </c>
      <c r="H28" t="s">
        <v>26</v>
      </c>
      <c r="I28" t="s">
        <v>39</v>
      </c>
      <c r="J28" s="2">
        <v>700</v>
      </c>
      <c r="K28" t="s">
        <v>19</v>
      </c>
      <c r="L28" s="1">
        <v>44686</v>
      </c>
      <c r="M28" t="s">
        <v>17</v>
      </c>
      <c r="N28">
        <v>22897</v>
      </c>
      <c r="O28" t="s">
        <v>17</v>
      </c>
      <c r="P28">
        <v>40790</v>
      </c>
    </row>
    <row r="29" spans="1:16" x14ac:dyDescent="0.25">
      <c r="A29" s="1">
        <v>44685</v>
      </c>
      <c r="B29" t="s">
        <v>25</v>
      </c>
      <c r="C29">
        <v>107180</v>
      </c>
      <c r="D29">
        <v>19937</v>
      </c>
      <c r="E29">
        <v>32314</v>
      </c>
      <c r="F29" t="s">
        <v>66</v>
      </c>
      <c r="G29" t="s">
        <v>64</v>
      </c>
      <c r="H29" t="s">
        <v>26</v>
      </c>
      <c r="I29" t="s">
        <v>41</v>
      </c>
      <c r="J29" s="2">
        <v>8</v>
      </c>
      <c r="K29" t="s">
        <v>30</v>
      </c>
      <c r="L29" s="1">
        <v>44686</v>
      </c>
      <c r="M29" t="s">
        <v>17</v>
      </c>
      <c r="N29">
        <v>22898</v>
      </c>
      <c r="O29">
        <v>36400</v>
      </c>
      <c r="P29">
        <v>40861</v>
      </c>
    </row>
    <row r="30" spans="1:16" x14ac:dyDescent="0.25">
      <c r="A30" s="1">
        <v>44685</v>
      </c>
      <c r="B30" t="s">
        <v>67</v>
      </c>
      <c r="C30">
        <v>107176</v>
      </c>
      <c r="D30">
        <v>19947</v>
      </c>
      <c r="E30" t="s">
        <v>17</v>
      </c>
      <c r="F30" t="s">
        <v>56</v>
      </c>
      <c r="G30" t="s">
        <v>56</v>
      </c>
      <c r="H30" t="s">
        <v>31</v>
      </c>
      <c r="I30" t="s">
        <v>211</v>
      </c>
      <c r="J30" s="2">
        <v>600</v>
      </c>
      <c r="K30" t="s">
        <v>19</v>
      </c>
      <c r="L30" s="1">
        <v>44685</v>
      </c>
      <c r="M30" t="s">
        <v>68</v>
      </c>
      <c r="N30">
        <v>22896</v>
      </c>
      <c r="O30" t="s">
        <v>17</v>
      </c>
      <c r="P30">
        <v>40855</v>
      </c>
    </row>
    <row r="31" spans="1:16" x14ac:dyDescent="0.25">
      <c r="A31" s="1">
        <v>44685</v>
      </c>
      <c r="B31" t="s">
        <v>67</v>
      </c>
      <c r="C31">
        <v>107176</v>
      </c>
      <c r="D31">
        <v>19944</v>
      </c>
      <c r="E31" t="s">
        <v>17</v>
      </c>
      <c r="F31" t="s">
        <v>56</v>
      </c>
      <c r="G31" t="s">
        <v>56</v>
      </c>
      <c r="H31" t="s">
        <v>69</v>
      </c>
      <c r="I31" t="s">
        <v>211</v>
      </c>
      <c r="J31" s="2">
        <v>500</v>
      </c>
      <c r="K31" t="s">
        <v>70</v>
      </c>
      <c r="L31" s="1">
        <v>44685</v>
      </c>
      <c r="M31" t="s">
        <v>32</v>
      </c>
      <c r="N31">
        <v>22896</v>
      </c>
      <c r="O31">
        <v>36426</v>
      </c>
      <c r="P31">
        <v>40855</v>
      </c>
    </row>
    <row r="32" spans="1:16" x14ac:dyDescent="0.25">
      <c r="A32" s="1">
        <v>44685</v>
      </c>
      <c r="B32" t="s">
        <v>20</v>
      </c>
      <c r="C32">
        <v>149031</v>
      </c>
      <c r="D32">
        <v>19938</v>
      </c>
      <c r="E32" t="s">
        <v>17</v>
      </c>
      <c r="F32" t="s">
        <v>71</v>
      </c>
      <c r="G32" t="s">
        <v>56</v>
      </c>
      <c r="H32" t="s">
        <v>31</v>
      </c>
      <c r="I32" t="s">
        <v>38</v>
      </c>
      <c r="J32" s="2">
        <v>26160</v>
      </c>
      <c r="K32" t="s">
        <v>21</v>
      </c>
      <c r="L32" s="1">
        <v>44685</v>
      </c>
      <c r="M32" t="s">
        <v>17</v>
      </c>
      <c r="N32">
        <v>31996</v>
      </c>
      <c r="O32">
        <v>36444</v>
      </c>
      <c r="P32">
        <v>246875</v>
      </c>
    </row>
    <row r="33" spans="1:16" x14ac:dyDescent="0.25">
      <c r="A33" s="1">
        <v>44685</v>
      </c>
      <c r="B33" t="s">
        <v>20</v>
      </c>
      <c r="C33">
        <v>149039</v>
      </c>
      <c r="D33">
        <v>19945</v>
      </c>
      <c r="E33" t="s">
        <v>17</v>
      </c>
      <c r="F33" t="s">
        <v>72</v>
      </c>
      <c r="G33" t="s">
        <v>56</v>
      </c>
      <c r="H33" t="s">
        <v>23</v>
      </c>
      <c r="I33" t="s">
        <v>38</v>
      </c>
      <c r="J33" s="2">
        <v>28800</v>
      </c>
      <c r="K33" t="s">
        <v>73</v>
      </c>
      <c r="L33" s="1">
        <v>44685</v>
      </c>
      <c r="M33" t="s">
        <v>74</v>
      </c>
      <c r="N33">
        <v>31997</v>
      </c>
      <c r="O33">
        <v>36401</v>
      </c>
      <c r="P33">
        <v>246895</v>
      </c>
    </row>
    <row r="34" spans="1:16" x14ac:dyDescent="0.25">
      <c r="A34" s="1">
        <v>44686</v>
      </c>
      <c r="B34" t="s">
        <v>16</v>
      </c>
      <c r="C34">
        <v>76636</v>
      </c>
      <c r="D34">
        <v>10493</v>
      </c>
      <c r="E34">
        <v>3440</v>
      </c>
      <c r="F34" t="s">
        <v>75</v>
      </c>
      <c r="G34" t="s">
        <v>44</v>
      </c>
      <c r="H34" t="s">
        <v>18</v>
      </c>
      <c r="I34" t="s">
        <v>33</v>
      </c>
      <c r="J34" s="2">
        <v>100</v>
      </c>
      <c r="K34" t="s">
        <v>76</v>
      </c>
      <c r="L34" s="1">
        <v>44687</v>
      </c>
      <c r="M34" t="s">
        <v>17</v>
      </c>
      <c r="N34">
        <v>34802</v>
      </c>
      <c r="O34">
        <v>36429</v>
      </c>
      <c r="P34">
        <v>243509</v>
      </c>
    </row>
    <row r="35" spans="1:16" x14ac:dyDescent="0.25">
      <c r="A35" s="1">
        <v>44686</v>
      </c>
      <c r="B35" t="s">
        <v>16</v>
      </c>
      <c r="C35">
        <v>76637</v>
      </c>
      <c r="D35">
        <v>10493</v>
      </c>
      <c r="E35">
        <v>3440</v>
      </c>
      <c r="F35" t="s">
        <v>75</v>
      </c>
      <c r="G35" t="s">
        <v>44</v>
      </c>
      <c r="H35" t="s">
        <v>18</v>
      </c>
      <c r="I35" t="s">
        <v>33</v>
      </c>
      <c r="J35" s="2">
        <v>200</v>
      </c>
      <c r="K35" t="s">
        <v>76</v>
      </c>
      <c r="L35" s="1">
        <v>44687</v>
      </c>
      <c r="M35" t="s">
        <v>17</v>
      </c>
      <c r="N35">
        <v>34803</v>
      </c>
      <c r="O35">
        <v>36429</v>
      </c>
      <c r="P35">
        <v>245169</v>
      </c>
    </row>
    <row r="36" spans="1:16" x14ac:dyDescent="0.25">
      <c r="A36" s="1">
        <v>44686</v>
      </c>
      <c r="B36" t="s">
        <v>16</v>
      </c>
      <c r="C36">
        <v>76638</v>
      </c>
      <c r="D36">
        <v>10493</v>
      </c>
      <c r="E36">
        <v>3440</v>
      </c>
      <c r="F36" t="s">
        <v>75</v>
      </c>
      <c r="G36" t="s">
        <v>44</v>
      </c>
      <c r="H36" t="s">
        <v>18</v>
      </c>
      <c r="I36" t="s">
        <v>33</v>
      </c>
      <c r="J36" s="2">
        <v>300</v>
      </c>
      <c r="K36" t="s">
        <v>76</v>
      </c>
      <c r="L36" s="1">
        <v>44687</v>
      </c>
      <c r="M36" t="s">
        <v>17</v>
      </c>
      <c r="N36">
        <v>34804</v>
      </c>
      <c r="O36">
        <v>36429</v>
      </c>
      <c r="P36">
        <v>245613</v>
      </c>
    </row>
    <row r="37" spans="1:16" x14ac:dyDescent="0.25">
      <c r="A37" s="1">
        <v>44686</v>
      </c>
      <c r="B37" t="s">
        <v>16</v>
      </c>
      <c r="C37">
        <v>76637</v>
      </c>
      <c r="D37">
        <v>10494</v>
      </c>
      <c r="E37">
        <v>3440</v>
      </c>
      <c r="F37" t="s">
        <v>75</v>
      </c>
      <c r="G37" t="s">
        <v>44</v>
      </c>
      <c r="H37" t="s">
        <v>18</v>
      </c>
      <c r="I37" t="s">
        <v>36</v>
      </c>
      <c r="J37" s="2">
        <v>500</v>
      </c>
      <c r="K37" t="s">
        <v>77</v>
      </c>
      <c r="L37" s="1">
        <v>44687</v>
      </c>
      <c r="M37" t="s">
        <v>17</v>
      </c>
      <c r="N37">
        <v>34803</v>
      </c>
      <c r="O37">
        <v>36428</v>
      </c>
      <c r="P37">
        <v>245169</v>
      </c>
    </row>
    <row r="38" spans="1:16" x14ac:dyDescent="0.25">
      <c r="A38" s="1">
        <v>44686</v>
      </c>
      <c r="B38" t="s">
        <v>25</v>
      </c>
      <c r="C38">
        <v>107193</v>
      </c>
      <c r="D38">
        <v>19943</v>
      </c>
      <c r="E38" t="s">
        <v>17</v>
      </c>
      <c r="F38" t="s">
        <v>56</v>
      </c>
      <c r="G38" t="s">
        <v>56</v>
      </c>
      <c r="H38" t="s">
        <v>78</v>
      </c>
      <c r="I38" t="s">
        <v>212</v>
      </c>
      <c r="J38" s="2">
        <v>528</v>
      </c>
      <c r="K38" t="s">
        <v>79</v>
      </c>
      <c r="L38" s="1">
        <v>44686</v>
      </c>
      <c r="M38" t="s">
        <v>80</v>
      </c>
      <c r="N38">
        <v>22902</v>
      </c>
      <c r="O38">
        <v>36480</v>
      </c>
      <c r="P38">
        <v>40791</v>
      </c>
    </row>
    <row r="39" spans="1:16" x14ac:dyDescent="0.25">
      <c r="A39" s="1">
        <v>44686</v>
      </c>
      <c r="B39" t="s">
        <v>20</v>
      </c>
      <c r="C39">
        <v>149076</v>
      </c>
      <c r="D39">
        <v>19949</v>
      </c>
      <c r="E39" t="s">
        <v>17</v>
      </c>
      <c r="F39" t="s">
        <v>81</v>
      </c>
      <c r="G39" t="s">
        <v>56</v>
      </c>
      <c r="H39" t="s">
        <v>31</v>
      </c>
      <c r="I39" t="s">
        <v>38</v>
      </c>
      <c r="J39" s="2">
        <v>27700</v>
      </c>
      <c r="K39" t="s">
        <v>21</v>
      </c>
      <c r="L39" s="1">
        <v>44687</v>
      </c>
      <c r="M39" t="s">
        <v>17</v>
      </c>
      <c r="N39">
        <v>32008</v>
      </c>
      <c r="O39">
        <v>36465</v>
      </c>
      <c r="P39">
        <v>247195</v>
      </c>
    </row>
    <row r="40" spans="1:16" x14ac:dyDescent="0.25">
      <c r="A40" s="1">
        <v>44687</v>
      </c>
      <c r="B40" t="s">
        <v>16</v>
      </c>
      <c r="C40">
        <v>76684</v>
      </c>
      <c r="D40" t="s">
        <v>17</v>
      </c>
      <c r="E40">
        <v>3440</v>
      </c>
      <c r="F40" t="s">
        <v>72</v>
      </c>
      <c r="G40" t="s">
        <v>82</v>
      </c>
      <c r="H40" t="s">
        <v>18</v>
      </c>
      <c r="I40" t="s">
        <v>213</v>
      </c>
      <c r="J40" s="2">
        <v>250</v>
      </c>
      <c r="K40" t="s">
        <v>19</v>
      </c>
      <c r="L40" s="1">
        <v>44691</v>
      </c>
      <c r="M40" t="s">
        <v>17</v>
      </c>
      <c r="N40">
        <v>34842</v>
      </c>
      <c r="O40" t="s">
        <v>17</v>
      </c>
      <c r="P40">
        <v>246650</v>
      </c>
    </row>
    <row r="41" spans="1:16" x14ac:dyDescent="0.25">
      <c r="A41" s="1">
        <v>44687</v>
      </c>
      <c r="B41" t="s">
        <v>16</v>
      </c>
      <c r="C41">
        <v>76684</v>
      </c>
      <c r="D41" t="s">
        <v>17</v>
      </c>
      <c r="E41">
        <v>3440</v>
      </c>
      <c r="F41" t="s">
        <v>72</v>
      </c>
      <c r="G41" t="s">
        <v>82</v>
      </c>
      <c r="H41" t="s">
        <v>18</v>
      </c>
      <c r="I41" t="s">
        <v>35</v>
      </c>
      <c r="J41" s="2">
        <v>550</v>
      </c>
      <c r="K41" t="s">
        <v>19</v>
      </c>
      <c r="L41" s="1">
        <v>44691</v>
      </c>
      <c r="M41" t="s">
        <v>17</v>
      </c>
      <c r="N41">
        <v>34842</v>
      </c>
      <c r="O41" t="s">
        <v>17</v>
      </c>
      <c r="P41">
        <v>246650</v>
      </c>
    </row>
    <row r="42" spans="1:16" x14ac:dyDescent="0.25">
      <c r="A42" s="1">
        <v>44687</v>
      </c>
      <c r="B42" t="s">
        <v>16</v>
      </c>
      <c r="C42">
        <v>76683</v>
      </c>
      <c r="D42">
        <v>10497</v>
      </c>
      <c r="E42">
        <v>3440</v>
      </c>
      <c r="F42" t="s">
        <v>72</v>
      </c>
      <c r="G42" t="s">
        <v>82</v>
      </c>
      <c r="H42" t="s">
        <v>18</v>
      </c>
      <c r="I42" t="s">
        <v>33</v>
      </c>
      <c r="J42" s="2">
        <v>300</v>
      </c>
      <c r="K42" t="s">
        <v>83</v>
      </c>
      <c r="L42" s="1">
        <v>44691</v>
      </c>
      <c r="M42" t="s">
        <v>17</v>
      </c>
      <c r="N42">
        <v>34841</v>
      </c>
      <c r="O42">
        <v>36470</v>
      </c>
      <c r="P42">
        <v>246063</v>
      </c>
    </row>
    <row r="43" spans="1:16" x14ac:dyDescent="0.25">
      <c r="A43" s="1">
        <v>44687</v>
      </c>
      <c r="B43" t="s">
        <v>16</v>
      </c>
      <c r="C43">
        <v>76667</v>
      </c>
      <c r="D43">
        <v>10495</v>
      </c>
      <c r="E43">
        <v>31491</v>
      </c>
      <c r="F43" t="s">
        <v>84</v>
      </c>
      <c r="G43" t="s">
        <v>82</v>
      </c>
      <c r="H43" t="s">
        <v>45</v>
      </c>
      <c r="I43" t="s">
        <v>36</v>
      </c>
      <c r="J43" s="2">
        <v>550</v>
      </c>
      <c r="K43" t="s">
        <v>85</v>
      </c>
      <c r="L43" s="1">
        <v>44690</v>
      </c>
      <c r="M43" t="s">
        <v>17</v>
      </c>
      <c r="N43">
        <v>34825</v>
      </c>
      <c r="O43">
        <v>36439</v>
      </c>
      <c r="P43">
        <v>245531</v>
      </c>
    </row>
    <row r="44" spans="1:16" x14ac:dyDescent="0.25">
      <c r="A44" s="1">
        <v>44687</v>
      </c>
      <c r="B44" t="s">
        <v>16</v>
      </c>
      <c r="C44">
        <v>76664</v>
      </c>
      <c r="D44">
        <v>10498</v>
      </c>
      <c r="E44" t="s">
        <v>17</v>
      </c>
      <c r="F44" t="s">
        <v>56</v>
      </c>
      <c r="G44" t="s">
        <v>56</v>
      </c>
      <c r="H44" t="s">
        <v>86</v>
      </c>
      <c r="I44" t="s">
        <v>33</v>
      </c>
      <c r="J44" s="2">
        <v>200</v>
      </c>
      <c r="K44" t="s">
        <v>29</v>
      </c>
      <c r="L44" s="1">
        <v>44690</v>
      </c>
      <c r="M44" t="s">
        <v>17</v>
      </c>
      <c r="N44">
        <v>34822</v>
      </c>
      <c r="O44">
        <v>36441</v>
      </c>
      <c r="P44">
        <v>246801</v>
      </c>
    </row>
    <row r="45" spans="1:16" x14ac:dyDescent="0.25">
      <c r="A45" s="1">
        <v>44687</v>
      </c>
      <c r="B45" t="s">
        <v>16</v>
      </c>
      <c r="C45">
        <v>76665</v>
      </c>
      <c r="D45">
        <v>10496</v>
      </c>
      <c r="E45">
        <v>31491</v>
      </c>
      <c r="F45" t="s">
        <v>84</v>
      </c>
      <c r="G45" t="s">
        <v>82</v>
      </c>
      <c r="H45" t="s">
        <v>45</v>
      </c>
      <c r="I45" t="s">
        <v>40</v>
      </c>
      <c r="J45" s="2">
        <v>50</v>
      </c>
      <c r="K45" t="s">
        <v>87</v>
      </c>
      <c r="L45" s="1">
        <v>44690</v>
      </c>
      <c r="M45" t="s">
        <v>17</v>
      </c>
      <c r="N45">
        <v>34823</v>
      </c>
      <c r="O45">
        <v>36440</v>
      </c>
      <c r="P45">
        <v>243930</v>
      </c>
    </row>
    <row r="46" spans="1:16" x14ac:dyDescent="0.25">
      <c r="A46" s="1">
        <v>44687</v>
      </c>
      <c r="B46" t="s">
        <v>16</v>
      </c>
      <c r="C46">
        <v>76666</v>
      </c>
      <c r="D46">
        <v>10496</v>
      </c>
      <c r="E46">
        <v>31491</v>
      </c>
      <c r="F46" t="s">
        <v>84</v>
      </c>
      <c r="G46" t="s">
        <v>82</v>
      </c>
      <c r="H46" t="s">
        <v>45</v>
      </c>
      <c r="I46" t="s">
        <v>40</v>
      </c>
      <c r="J46" s="2">
        <v>450</v>
      </c>
      <c r="K46" t="s">
        <v>87</v>
      </c>
      <c r="L46" s="1">
        <v>44690</v>
      </c>
      <c r="M46" t="s">
        <v>17</v>
      </c>
      <c r="N46">
        <v>34824</v>
      </c>
      <c r="O46">
        <v>36440</v>
      </c>
      <c r="P46">
        <v>245168</v>
      </c>
    </row>
    <row r="47" spans="1:16" x14ac:dyDescent="0.25">
      <c r="A47" s="1">
        <v>44687</v>
      </c>
      <c r="B47" t="s">
        <v>16</v>
      </c>
      <c r="C47">
        <v>76682</v>
      </c>
      <c r="D47">
        <v>10499</v>
      </c>
      <c r="E47" t="s">
        <v>17</v>
      </c>
      <c r="F47" t="s">
        <v>56</v>
      </c>
      <c r="G47" t="s">
        <v>56</v>
      </c>
      <c r="H47" t="s">
        <v>86</v>
      </c>
      <c r="I47" t="s">
        <v>40</v>
      </c>
      <c r="J47" s="2">
        <v>50</v>
      </c>
      <c r="K47" t="s">
        <v>88</v>
      </c>
      <c r="L47" s="1">
        <v>44690</v>
      </c>
      <c r="M47" t="s">
        <v>17</v>
      </c>
      <c r="N47">
        <v>34840</v>
      </c>
      <c r="O47">
        <v>36338</v>
      </c>
      <c r="P47">
        <v>245390</v>
      </c>
    </row>
    <row r="48" spans="1:16" x14ac:dyDescent="0.25">
      <c r="A48" s="1">
        <v>44687</v>
      </c>
      <c r="B48" t="s">
        <v>25</v>
      </c>
      <c r="C48">
        <v>107210</v>
      </c>
      <c r="D48" t="s">
        <v>17</v>
      </c>
      <c r="E48">
        <v>32331</v>
      </c>
      <c r="F48" t="s">
        <v>89</v>
      </c>
      <c r="G48" t="s">
        <v>64</v>
      </c>
      <c r="H48" t="s">
        <v>26</v>
      </c>
      <c r="I48" t="s">
        <v>34</v>
      </c>
      <c r="J48" s="2">
        <v>550</v>
      </c>
      <c r="K48" t="s">
        <v>19</v>
      </c>
      <c r="L48" s="1">
        <v>44690</v>
      </c>
      <c r="M48" t="s">
        <v>17</v>
      </c>
      <c r="N48">
        <v>22910</v>
      </c>
      <c r="O48" t="s">
        <v>17</v>
      </c>
      <c r="P48">
        <v>40911</v>
      </c>
    </row>
    <row r="49" spans="1:16" x14ac:dyDescent="0.25">
      <c r="A49" s="1">
        <v>44687</v>
      </c>
      <c r="B49" t="s">
        <v>25</v>
      </c>
      <c r="C49">
        <v>107210</v>
      </c>
      <c r="D49" t="s">
        <v>17</v>
      </c>
      <c r="E49">
        <v>32331</v>
      </c>
      <c r="F49" t="s">
        <v>89</v>
      </c>
      <c r="G49" t="s">
        <v>64</v>
      </c>
      <c r="H49" t="s">
        <v>26</v>
      </c>
      <c r="I49" t="s">
        <v>39</v>
      </c>
      <c r="J49" s="2">
        <v>500</v>
      </c>
      <c r="K49" t="s">
        <v>19</v>
      </c>
      <c r="L49" s="1">
        <v>44690</v>
      </c>
      <c r="M49" t="s">
        <v>17</v>
      </c>
      <c r="N49">
        <v>22910</v>
      </c>
      <c r="O49" t="s">
        <v>17</v>
      </c>
      <c r="P49">
        <v>40911</v>
      </c>
    </row>
    <row r="50" spans="1:16" x14ac:dyDescent="0.25">
      <c r="A50" s="1">
        <v>44687</v>
      </c>
      <c r="B50" t="s">
        <v>20</v>
      </c>
      <c r="C50">
        <v>149109</v>
      </c>
      <c r="D50">
        <v>19954</v>
      </c>
      <c r="E50" t="s">
        <v>17</v>
      </c>
      <c r="F50" t="s">
        <v>90</v>
      </c>
      <c r="G50" t="s">
        <v>56</v>
      </c>
      <c r="H50" t="s">
        <v>31</v>
      </c>
      <c r="I50" t="s">
        <v>38</v>
      </c>
      <c r="J50" s="2">
        <v>28920</v>
      </c>
      <c r="K50" t="s">
        <v>21</v>
      </c>
      <c r="L50" s="1">
        <v>44687</v>
      </c>
      <c r="M50" t="s">
        <v>17</v>
      </c>
      <c r="N50">
        <v>32020</v>
      </c>
      <c r="O50">
        <v>36466</v>
      </c>
      <c r="P50">
        <v>247440</v>
      </c>
    </row>
    <row r="51" spans="1:16" x14ac:dyDescent="0.25">
      <c r="A51" s="1">
        <v>44687</v>
      </c>
      <c r="B51" t="s">
        <v>20</v>
      </c>
      <c r="C51">
        <v>149082</v>
      </c>
      <c r="D51">
        <v>19949</v>
      </c>
      <c r="E51" t="s">
        <v>17</v>
      </c>
      <c r="F51" t="s">
        <v>91</v>
      </c>
      <c r="G51" t="s">
        <v>56</v>
      </c>
      <c r="H51" t="s">
        <v>78</v>
      </c>
      <c r="I51" t="s">
        <v>38</v>
      </c>
      <c r="J51" s="2">
        <v>27920</v>
      </c>
      <c r="K51" t="s">
        <v>92</v>
      </c>
      <c r="L51" s="1">
        <v>44687</v>
      </c>
      <c r="M51" t="s">
        <v>17</v>
      </c>
      <c r="N51">
        <v>32010</v>
      </c>
      <c r="O51">
        <v>36445</v>
      </c>
      <c r="P51">
        <v>247216</v>
      </c>
    </row>
    <row r="52" spans="1:16" x14ac:dyDescent="0.25">
      <c r="A52" s="1">
        <v>44687</v>
      </c>
      <c r="B52" t="s">
        <v>20</v>
      </c>
      <c r="C52">
        <v>149088</v>
      </c>
      <c r="D52">
        <v>19946</v>
      </c>
      <c r="E52" t="s">
        <v>17</v>
      </c>
      <c r="F52" t="s">
        <v>93</v>
      </c>
      <c r="G52" t="s">
        <v>56</v>
      </c>
      <c r="H52" t="s">
        <v>23</v>
      </c>
      <c r="I52" t="s">
        <v>38</v>
      </c>
      <c r="J52" s="2">
        <v>28700</v>
      </c>
      <c r="K52" t="s">
        <v>73</v>
      </c>
      <c r="L52" s="1">
        <v>44687</v>
      </c>
      <c r="M52" t="s">
        <v>74</v>
      </c>
      <c r="N52">
        <v>32014</v>
      </c>
      <c r="O52">
        <v>36437</v>
      </c>
      <c r="P52">
        <v>247242</v>
      </c>
    </row>
    <row r="53" spans="1:16" x14ac:dyDescent="0.25">
      <c r="A53" s="1">
        <v>44690</v>
      </c>
      <c r="B53" t="s">
        <v>16</v>
      </c>
      <c r="C53">
        <v>76700</v>
      </c>
      <c r="D53" t="s">
        <v>17</v>
      </c>
      <c r="E53" t="s">
        <v>17</v>
      </c>
      <c r="F53" t="s">
        <v>94</v>
      </c>
      <c r="G53" t="s">
        <v>56</v>
      </c>
      <c r="H53" t="s">
        <v>18</v>
      </c>
      <c r="I53" t="s">
        <v>39</v>
      </c>
      <c r="J53" s="2">
        <v>700</v>
      </c>
      <c r="K53" t="s">
        <v>19</v>
      </c>
      <c r="L53" s="1">
        <v>44691</v>
      </c>
      <c r="M53" t="s">
        <v>17</v>
      </c>
      <c r="N53">
        <v>34854</v>
      </c>
      <c r="O53" t="s">
        <v>17</v>
      </c>
      <c r="P53">
        <v>245850</v>
      </c>
    </row>
    <row r="54" spans="1:16" x14ac:dyDescent="0.25">
      <c r="A54" s="1">
        <v>44690</v>
      </c>
      <c r="B54" t="s">
        <v>16</v>
      </c>
      <c r="C54">
        <v>76701</v>
      </c>
      <c r="D54" t="s">
        <v>17</v>
      </c>
      <c r="E54" t="s">
        <v>17</v>
      </c>
      <c r="F54" t="s">
        <v>94</v>
      </c>
      <c r="G54" t="s">
        <v>56</v>
      </c>
      <c r="H54" t="s">
        <v>18</v>
      </c>
      <c r="I54" t="s">
        <v>39</v>
      </c>
      <c r="J54" s="2">
        <v>400</v>
      </c>
      <c r="K54" t="s">
        <v>19</v>
      </c>
      <c r="L54" s="1">
        <v>44691</v>
      </c>
      <c r="M54" t="s">
        <v>17</v>
      </c>
      <c r="N54">
        <v>34855</v>
      </c>
      <c r="O54" t="s">
        <v>17</v>
      </c>
      <c r="P54">
        <v>246062</v>
      </c>
    </row>
    <row r="55" spans="1:16" x14ac:dyDescent="0.25">
      <c r="A55" s="1">
        <v>44690</v>
      </c>
      <c r="B55" t="s">
        <v>16</v>
      </c>
      <c r="C55">
        <v>76702</v>
      </c>
      <c r="D55">
        <v>10487</v>
      </c>
      <c r="E55">
        <v>3440</v>
      </c>
      <c r="F55" t="s">
        <v>95</v>
      </c>
      <c r="G55" t="s">
        <v>82</v>
      </c>
      <c r="H55" t="s">
        <v>18</v>
      </c>
      <c r="I55" t="s">
        <v>36</v>
      </c>
      <c r="J55" s="2">
        <v>1100</v>
      </c>
      <c r="K55" t="s">
        <v>96</v>
      </c>
      <c r="L55" s="1">
        <v>44691</v>
      </c>
      <c r="M55" t="s">
        <v>17</v>
      </c>
      <c r="N55">
        <v>34856</v>
      </c>
      <c r="O55">
        <v>36476</v>
      </c>
      <c r="P55">
        <v>246061</v>
      </c>
    </row>
    <row r="56" spans="1:16" x14ac:dyDescent="0.25">
      <c r="A56" s="1">
        <v>44690</v>
      </c>
      <c r="B56" t="s">
        <v>67</v>
      </c>
      <c r="C56">
        <v>107223</v>
      </c>
      <c r="D56">
        <v>19882</v>
      </c>
      <c r="E56" t="s">
        <v>17</v>
      </c>
      <c r="F56" t="s">
        <v>56</v>
      </c>
      <c r="G56" t="s">
        <v>56</v>
      </c>
      <c r="H56" t="s">
        <v>78</v>
      </c>
      <c r="I56" t="s">
        <v>214</v>
      </c>
      <c r="J56" s="2">
        <v>72</v>
      </c>
      <c r="K56" t="s">
        <v>97</v>
      </c>
      <c r="L56" s="1">
        <v>44690</v>
      </c>
      <c r="M56" t="s">
        <v>17</v>
      </c>
      <c r="N56">
        <v>22917</v>
      </c>
      <c r="O56">
        <v>36473</v>
      </c>
      <c r="P56">
        <v>40955</v>
      </c>
    </row>
    <row r="57" spans="1:16" x14ac:dyDescent="0.25">
      <c r="A57" s="1">
        <v>44690</v>
      </c>
      <c r="B57" t="s">
        <v>67</v>
      </c>
      <c r="C57">
        <v>107222</v>
      </c>
      <c r="D57">
        <v>19882</v>
      </c>
      <c r="E57" t="s">
        <v>17</v>
      </c>
      <c r="F57" t="s">
        <v>56</v>
      </c>
      <c r="G57" t="s">
        <v>56</v>
      </c>
      <c r="H57" t="s">
        <v>78</v>
      </c>
      <c r="I57" t="s">
        <v>211</v>
      </c>
      <c r="J57" s="2">
        <v>50</v>
      </c>
      <c r="K57" t="s">
        <v>97</v>
      </c>
      <c r="L57" s="1">
        <v>44690</v>
      </c>
      <c r="M57" t="s">
        <v>17</v>
      </c>
      <c r="N57">
        <v>22916</v>
      </c>
      <c r="O57">
        <v>36473</v>
      </c>
      <c r="P57">
        <v>40954</v>
      </c>
    </row>
    <row r="58" spans="1:16" x14ac:dyDescent="0.25">
      <c r="A58" s="1">
        <v>44690</v>
      </c>
      <c r="B58" t="s">
        <v>67</v>
      </c>
      <c r="C58">
        <v>107223</v>
      </c>
      <c r="D58">
        <v>19881</v>
      </c>
      <c r="E58" t="s">
        <v>17</v>
      </c>
      <c r="F58" t="s">
        <v>56</v>
      </c>
      <c r="G58" t="s">
        <v>56</v>
      </c>
      <c r="H58" t="s">
        <v>78</v>
      </c>
      <c r="I58" t="s">
        <v>215</v>
      </c>
      <c r="J58" s="2">
        <v>216</v>
      </c>
      <c r="K58" t="s">
        <v>98</v>
      </c>
      <c r="L58" s="1">
        <v>44690</v>
      </c>
      <c r="M58" t="s">
        <v>17</v>
      </c>
      <c r="N58">
        <v>22917</v>
      </c>
      <c r="O58">
        <v>36472</v>
      </c>
      <c r="P58">
        <v>40955</v>
      </c>
    </row>
    <row r="59" spans="1:16" x14ac:dyDescent="0.25">
      <c r="A59" s="1">
        <v>44690</v>
      </c>
      <c r="B59" t="s">
        <v>67</v>
      </c>
      <c r="C59">
        <v>107222</v>
      </c>
      <c r="D59">
        <v>19881</v>
      </c>
      <c r="E59" t="s">
        <v>17</v>
      </c>
      <c r="F59" t="s">
        <v>56</v>
      </c>
      <c r="G59" t="s">
        <v>56</v>
      </c>
      <c r="H59" t="s">
        <v>78</v>
      </c>
      <c r="I59" t="s">
        <v>211</v>
      </c>
      <c r="J59" s="2">
        <v>250</v>
      </c>
      <c r="K59" t="s">
        <v>98</v>
      </c>
      <c r="L59" s="1">
        <v>44690</v>
      </c>
      <c r="M59" t="s">
        <v>17</v>
      </c>
      <c r="N59">
        <v>22916</v>
      </c>
      <c r="O59">
        <v>36472</v>
      </c>
      <c r="P59">
        <v>40954</v>
      </c>
    </row>
    <row r="60" spans="1:16" x14ac:dyDescent="0.25">
      <c r="A60" s="1">
        <v>44690</v>
      </c>
      <c r="B60" t="s">
        <v>67</v>
      </c>
      <c r="C60">
        <v>107223</v>
      </c>
      <c r="D60">
        <v>19880</v>
      </c>
      <c r="E60" t="s">
        <v>17</v>
      </c>
      <c r="F60" t="s">
        <v>56</v>
      </c>
      <c r="G60" t="s">
        <v>56</v>
      </c>
      <c r="H60" t="s">
        <v>78</v>
      </c>
      <c r="I60" t="s">
        <v>214</v>
      </c>
      <c r="J60" s="2">
        <v>48</v>
      </c>
      <c r="K60" t="s">
        <v>99</v>
      </c>
      <c r="L60" s="1">
        <v>44690</v>
      </c>
      <c r="M60" t="s">
        <v>17</v>
      </c>
      <c r="N60">
        <v>22917</v>
      </c>
      <c r="O60">
        <v>36471</v>
      </c>
      <c r="P60">
        <v>40955</v>
      </c>
    </row>
    <row r="61" spans="1:16" x14ac:dyDescent="0.25">
      <c r="A61" s="1">
        <v>44690</v>
      </c>
      <c r="B61" t="s">
        <v>67</v>
      </c>
      <c r="C61">
        <v>107222</v>
      </c>
      <c r="D61">
        <v>19880</v>
      </c>
      <c r="E61" t="s">
        <v>17</v>
      </c>
      <c r="F61" t="s">
        <v>56</v>
      </c>
      <c r="G61" t="s">
        <v>56</v>
      </c>
      <c r="H61" t="s">
        <v>78</v>
      </c>
      <c r="I61" t="s">
        <v>211</v>
      </c>
      <c r="J61" s="2">
        <v>100</v>
      </c>
      <c r="K61" t="s">
        <v>99</v>
      </c>
      <c r="L61" s="1">
        <v>44690</v>
      </c>
      <c r="M61" t="s">
        <v>17</v>
      </c>
      <c r="N61">
        <v>22916</v>
      </c>
      <c r="O61">
        <v>36471</v>
      </c>
      <c r="P61">
        <v>40954</v>
      </c>
    </row>
    <row r="62" spans="1:16" x14ac:dyDescent="0.25">
      <c r="A62" s="1">
        <v>44690</v>
      </c>
      <c r="B62" t="s">
        <v>20</v>
      </c>
      <c r="C62">
        <v>149113</v>
      </c>
      <c r="D62">
        <v>19941</v>
      </c>
      <c r="E62" t="s">
        <v>17</v>
      </c>
      <c r="F62" t="s">
        <v>100</v>
      </c>
      <c r="G62" t="s">
        <v>56</v>
      </c>
      <c r="H62" t="s">
        <v>31</v>
      </c>
      <c r="I62" t="s">
        <v>38</v>
      </c>
      <c r="J62" s="2">
        <v>9140</v>
      </c>
      <c r="K62" t="s">
        <v>21</v>
      </c>
      <c r="L62" s="1">
        <v>44690</v>
      </c>
      <c r="M62" t="s">
        <v>101</v>
      </c>
      <c r="N62">
        <v>32021</v>
      </c>
      <c r="O62">
        <v>36515</v>
      </c>
      <c r="P62">
        <v>247458</v>
      </c>
    </row>
    <row r="63" spans="1:16" x14ac:dyDescent="0.25">
      <c r="A63" s="1">
        <v>44691</v>
      </c>
      <c r="B63" t="s">
        <v>16</v>
      </c>
      <c r="C63">
        <v>76726</v>
      </c>
      <c r="D63">
        <v>10501</v>
      </c>
      <c r="E63">
        <v>83</v>
      </c>
      <c r="F63" t="s">
        <v>102</v>
      </c>
      <c r="G63" t="s">
        <v>82</v>
      </c>
      <c r="H63" t="s">
        <v>103</v>
      </c>
      <c r="I63" t="s">
        <v>40</v>
      </c>
      <c r="J63" s="2">
        <v>1100</v>
      </c>
      <c r="K63" t="s">
        <v>87</v>
      </c>
      <c r="L63" s="1">
        <v>44693</v>
      </c>
      <c r="M63" t="s">
        <v>17</v>
      </c>
      <c r="N63">
        <v>34870</v>
      </c>
      <c r="O63">
        <v>36507</v>
      </c>
      <c r="P63">
        <v>247092</v>
      </c>
    </row>
    <row r="64" spans="1:16" x14ac:dyDescent="0.25">
      <c r="A64" s="1">
        <v>44691</v>
      </c>
      <c r="B64" t="s">
        <v>25</v>
      </c>
      <c r="C64">
        <v>107235</v>
      </c>
      <c r="D64" t="s">
        <v>17</v>
      </c>
      <c r="E64">
        <v>32300</v>
      </c>
      <c r="F64" t="s">
        <v>104</v>
      </c>
      <c r="G64" t="s">
        <v>105</v>
      </c>
      <c r="H64" t="s">
        <v>26</v>
      </c>
      <c r="I64" t="s">
        <v>39</v>
      </c>
      <c r="J64" s="2">
        <v>600</v>
      </c>
      <c r="K64" t="s">
        <v>19</v>
      </c>
      <c r="L64" s="1">
        <v>44694</v>
      </c>
      <c r="M64" t="s">
        <v>17</v>
      </c>
      <c r="N64">
        <v>22920</v>
      </c>
      <c r="O64" t="s">
        <v>17</v>
      </c>
      <c r="P64">
        <v>40569</v>
      </c>
    </row>
    <row r="65" spans="1:16" x14ac:dyDescent="0.25">
      <c r="A65" s="1">
        <v>44691</v>
      </c>
      <c r="B65" t="s">
        <v>25</v>
      </c>
      <c r="C65">
        <v>107237</v>
      </c>
      <c r="D65" t="s">
        <v>17</v>
      </c>
      <c r="E65">
        <v>32300</v>
      </c>
      <c r="F65" t="s">
        <v>104</v>
      </c>
      <c r="G65" t="s">
        <v>105</v>
      </c>
      <c r="H65" t="s">
        <v>26</v>
      </c>
      <c r="I65" t="s">
        <v>39</v>
      </c>
      <c r="J65" s="2">
        <v>100</v>
      </c>
      <c r="K65" t="s">
        <v>19</v>
      </c>
      <c r="L65" s="1">
        <v>44694</v>
      </c>
      <c r="M65" t="s">
        <v>17</v>
      </c>
      <c r="N65">
        <v>22922</v>
      </c>
      <c r="O65" t="s">
        <v>17</v>
      </c>
      <c r="P65">
        <v>40984</v>
      </c>
    </row>
    <row r="66" spans="1:16" x14ac:dyDescent="0.25">
      <c r="A66" s="1">
        <v>44691</v>
      </c>
      <c r="B66" t="s">
        <v>25</v>
      </c>
      <c r="C66">
        <v>107236</v>
      </c>
      <c r="D66">
        <v>19953</v>
      </c>
      <c r="E66">
        <v>32300</v>
      </c>
      <c r="F66" t="s">
        <v>104</v>
      </c>
      <c r="G66" t="s">
        <v>105</v>
      </c>
      <c r="H66" t="s">
        <v>26</v>
      </c>
      <c r="I66" t="s">
        <v>41</v>
      </c>
      <c r="J66" s="2">
        <v>8</v>
      </c>
      <c r="K66" t="s">
        <v>30</v>
      </c>
      <c r="L66" s="1">
        <v>44694</v>
      </c>
      <c r="M66" t="s">
        <v>17</v>
      </c>
      <c r="N66">
        <v>22921</v>
      </c>
      <c r="O66">
        <v>36543</v>
      </c>
      <c r="P66">
        <v>40969</v>
      </c>
    </row>
    <row r="67" spans="1:16" x14ac:dyDescent="0.25">
      <c r="A67" s="1">
        <v>44691</v>
      </c>
      <c r="B67" t="s">
        <v>67</v>
      </c>
      <c r="C67">
        <v>107234</v>
      </c>
      <c r="D67">
        <v>19915</v>
      </c>
      <c r="E67" t="s">
        <v>17</v>
      </c>
      <c r="F67" t="s">
        <v>56</v>
      </c>
      <c r="G67" t="s">
        <v>56</v>
      </c>
      <c r="H67" t="s">
        <v>78</v>
      </c>
      <c r="I67" t="s">
        <v>214</v>
      </c>
      <c r="J67" s="2">
        <v>552</v>
      </c>
      <c r="K67" t="s">
        <v>106</v>
      </c>
      <c r="L67" s="1">
        <v>44691</v>
      </c>
      <c r="M67" t="s">
        <v>17</v>
      </c>
      <c r="N67">
        <v>22919</v>
      </c>
      <c r="O67">
        <v>36063</v>
      </c>
      <c r="P67">
        <v>40734</v>
      </c>
    </row>
    <row r="68" spans="1:16" x14ac:dyDescent="0.25">
      <c r="A68" s="1">
        <v>44691</v>
      </c>
      <c r="B68" t="s">
        <v>20</v>
      </c>
      <c r="C68">
        <v>149134</v>
      </c>
      <c r="D68">
        <v>19955</v>
      </c>
      <c r="E68" t="s">
        <v>17</v>
      </c>
      <c r="F68" t="s">
        <v>107</v>
      </c>
      <c r="G68" t="s">
        <v>56</v>
      </c>
      <c r="H68" t="s">
        <v>31</v>
      </c>
      <c r="I68" t="s">
        <v>38</v>
      </c>
      <c r="J68" s="2">
        <v>28620</v>
      </c>
      <c r="K68" t="s">
        <v>21</v>
      </c>
      <c r="L68" s="1">
        <v>44691</v>
      </c>
      <c r="M68" t="s">
        <v>108</v>
      </c>
      <c r="N68">
        <v>32034</v>
      </c>
      <c r="O68">
        <v>36519</v>
      </c>
      <c r="P68">
        <v>247525</v>
      </c>
    </row>
    <row r="69" spans="1:16" x14ac:dyDescent="0.25">
      <c r="A69" s="1">
        <v>44692</v>
      </c>
      <c r="B69" t="s">
        <v>16</v>
      </c>
      <c r="C69">
        <v>76758</v>
      </c>
      <c r="D69" t="s">
        <v>17</v>
      </c>
      <c r="E69">
        <v>31616</v>
      </c>
      <c r="F69" t="s">
        <v>109</v>
      </c>
      <c r="G69" t="s">
        <v>82</v>
      </c>
      <c r="H69" t="s">
        <v>45</v>
      </c>
      <c r="I69" t="s">
        <v>216</v>
      </c>
      <c r="J69" s="2">
        <v>585</v>
      </c>
      <c r="K69" t="s">
        <v>19</v>
      </c>
      <c r="L69" s="1">
        <v>44693</v>
      </c>
      <c r="M69" t="s">
        <v>17</v>
      </c>
      <c r="N69">
        <v>34898</v>
      </c>
      <c r="O69" t="s">
        <v>17</v>
      </c>
      <c r="P69">
        <v>247091</v>
      </c>
    </row>
    <row r="70" spans="1:16" x14ac:dyDescent="0.25">
      <c r="A70" s="1">
        <v>44692</v>
      </c>
      <c r="B70" t="s">
        <v>16</v>
      </c>
      <c r="C70">
        <v>76758</v>
      </c>
      <c r="D70" t="s">
        <v>17</v>
      </c>
      <c r="E70">
        <v>31616</v>
      </c>
      <c r="F70" t="s">
        <v>109</v>
      </c>
      <c r="G70" t="s">
        <v>82</v>
      </c>
      <c r="H70" t="s">
        <v>45</v>
      </c>
      <c r="I70" t="s">
        <v>217</v>
      </c>
      <c r="J70" s="2">
        <v>975</v>
      </c>
      <c r="K70" t="s">
        <v>19</v>
      </c>
      <c r="L70" s="1">
        <v>44693</v>
      </c>
      <c r="M70" t="s">
        <v>17</v>
      </c>
      <c r="N70">
        <v>34898</v>
      </c>
      <c r="O70" t="s">
        <v>17</v>
      </c>
      <c r="P70">
        <v>247091</v>
      </c>
    </row>
    <row r="71" spans="1:16" x14ac:dyDescent="0.25">
      <c r="A71" s="1">
        <v>44692</v>
      </c>
      <c r="B71" t="s">
        <v>16</v>
      </c>
      <c r="C71">
        <v>76758</v>
      </c>
      <c r="D71" t="s">
        <v>17</v>
      </c>
      <c r="E71">
        <v>31616</v>
      </c>
      <c r="F71" t="s">
        <v>109</v>
      </c>
      <c r="G71" t="s">
        <v>82</v>
      </c>
      <c r="H71" t="s">
        <v>45</v>
      </c>
      <c r="I71" t="s">
        <v>35</v>
      </c>
      <c r="J71" s="2">
        <v>50</v>
      </c>
      <c r="K71" t="s">
        <v>19</v>
      </c>
      <c r="L71" s="1">
        <v>44693</v>
      </c>
      <c r="M71" t="s">
        <v>17</v>
      </c>
      <c r="N71">
        <v>34898</v>
      </c>
      <c r="O71" t="s">
        <v>17</v>
      </c>
      <c r="P71">
        <v>247091</v>
      </c>
    </row>
    <row r="72" spans="1:16" x14ac:dyDescent="0.25">
      <c r="A72" s="1">
        <v>44692</v>
      </c>
      <c r="B72" t="s">
        <v>16</v>
      </c>
      <c r="C72">
        <v>76757</v>
      </c>
      <c r="D72" t="s">
        <v>17</v>
      </c>
      <c r="E72">
        <v>31616</v>
      </c>
      <c r="F72" t="s">
        <v>109</v>
      </c>
      <c r="G72" t="s">
        <v>82</v>
      </c>
      <c r="H72" t="s">
        <v>45</v>
      </c>
      <c r="I72" t="s">
        <v>39</v>
      </c>
      <c r="J72" s="2">
        <v>300</v>
      </c>
      <c r="K72" t="s">
        <v>19</v>
      </c>
      <c r="L72" s="1">
        <v>44693</v>
      </c>
      <c r="M72" t="s">
        <v>17</v>
      </c>
      <c r="N72">
        <v>34897</v>
      </c>
      <c r="O72" t="s">
        <v>17</v>
      </c>
      <c r="P72">
        <v>246651</v>
      </c>
    </row>
    <row r="73" spans="1:16" x14ac:dyDescent="0.25">
      <c r="A73" s="1">
        <v>44692</v>
      </c>
      <c r="B73" t="s">
        <v>16</v>
      </c>
      <c r="C73">
        <v>76758</v>
      </c>
      <c r="D73" t="s">
        <v>17</v>
      </c>
      <c r="E73">
        <v>31616</v>
      </c>
      <c r="F73" t="s">
        <v>109</v>
      </c>
      <c r="G73" t="s">
        <v>82</v>
      </c>
      <c r="H73" t="s">
        <v>45</v>
      </c>
      <c r="I73" t="s">
        <v>39</v>
      </c>
      <c r="J73" s="2">
        <v>50</v>
      </c>
      <c r="K73" t="s">
        <v>19</v>
      </c>
      <c r="L73" s="1">
        <v>44693</v>
      </c>
      <c r="M73" t="s">
        <v>17</v>
      </c>
      <c r="N73">
        <v>34898</v>
      </c>
      <c r="O73" t="s">
        <v>17</v>
      </c>
      <c r="P73">
        <v>247091</v>
      </c>
    </row>
    <row r="74" spans="1:16" x14ac:dyDescent="0.25">
      <c r="A74" s="1">
        <v>44692</v>
      </c>
      <c r="B74" t="s">
        <v>16</v>
      </c>
      <c r="C74">
        <v>76750</v>
      </c>
      <c r="D74">
        <v>10502</v>
      </c>
      <c r="E74">
        <v>3440</v>
      </c>
      <c r="F74" t="s">
        <v>110</v>
      </c>
      <c r="G74" t="s">
        <v>111</v>
      </c>
      <c r="H74" t="s">
        <v>18</v>
      </c>
      <c r="I74" t="s">
        <v>40</v>
      </c>
      <c r="J74" s="2">
        <v>400</v>
      </c>
      <c r="K74" t="s">
        <v>112</v>
      </c>
      <c r="L74" s="1">
        <v>44693</v>
      </c>
      <c r="M74" t="s">
        <v>17</v>
      </c>
      <c r="N74">
        <v>34891</v>
      </c>
      <c r="O74">
        <v>36509</v>
      </c>
      <c r="P74">
        <v>244901</v>
      </c>
    </row>
    <row r="75" spans="1:16" x14ac:dyDescent="0.25">
      <c r="A75" s="1">
        <v>44692</v>
      </c>
      <c r="B75" t="s">
        <v>16</v>
      </c>
      <c r="C75">
        <v>76751</v>
      </c>
      <c r="D75">
        <v>10502</v>
      </c>
      <c r="E75">
        <v>3440</v>
      </c>
      <c r="F75" t="s">
        <v>110</v>
      </c>
      <c r="G75" t="s">
        <v>111</v>
      </c>
      <c r="H75" t="s">
        <v>18</v>
      </c>
      <c r="I75" t="s">
        <v>40</v>
      </c>
      <c r="J75" s="2">
        <v>100</v>
      </c>
      <c r="K75" t="s">
        <v>112</v>
      </c>
      <c r="L75" s="1">
        <v>44693</v>
      </c>
      <c r="M75" t="s">
        <v>17</v>
      </c>
      <c r="N75">
        <v>34892</v>
      </c>
      <c r="O75">
        <v>36509</v>
      </c>
      <c r="P75">
        <v>246062</v>
      </c>
    </row>
    <row r="76" spans="1:16" x14ac:dyDescent="0.25">
      <c r="A76" s="1">
        <v>44692</v>
      </c>
      <c r="B76" t="s">
        <v>16</v>
      </c>
      <c r="C76">
        <v>76754</v>
      </c>
      <c r="D76">
        <v>10502</v>
      </c>
      <c r="E76">
        <v>3440</v>
      </c>
      <c r="F76" t="s">
        <v>110</v>
      </c>
      <c r="G76" t="s">
        <v>111</v>
      </c>
      <c r="H76" t="s">
        <v>18</v>
      </c>
      <c r="I76" t="s">
        <v>40</v>
      </c>
      <c r="J76" s="2">
        <v>100</v>
      </c>
      <c r="K76" t="s">
        <v>112</v>
      </c>
      <c r="L76" s="1">
        <v>44693</v>
      </c>
      <c r="M76" t="s">
        <v>17</v>
      </c>
      <c r="N76">
        <v>34895</v>
      </c>
      <c r="O76">
        <v>36509</v>
      </c>
      <c r="P76">
        <v>246651</v>
      </c>
    </row>
    <row r="77" spans="1:16" x14ac:dyDescent="0.25">
      <c r="A77" s="1">
        <v>44692</v>
      </c>
      <c r="B77" t="s">
        <v>16</v>
      </c>
      <c r="C77">
        <v>76758</v>
      </c>
      <c r="D77">
        <v>10504</v>
      </c>
      <c r="E77">
        <v>31616</v>
      </c>
      <c r="F77" t="s">
        <v>109</v>
      </c>
      <c r="G77" t="s">
        <v>82</v>
      </c>
      <c r="H77" t="s">
        <v>45</v>
      </c>
      <c r="I77" t="s">
        <v>36</v>
      </c>
      <c r="J77" s="2">
        <v>150</v>
      </c>
      <c r="K77" t="s">
        <v>113</v>
      </c>
      <c r="L77" s="1">
        <v>44693</v>
      </c>
      <c r="M77" t="s">
        <v>17</v>
      </c>
      <c r="N77">
        <v>34898</v>
      </c>
      <c r="O77">
        <v>36510</v>
      </c>
      <c r="P77">
        <v>247091</v>
      </c>
    </row>
    <row r="78" spans="1:16" x14ac:dyDescent="0.25">
      <c r="A78" s="1">
        <v>44692</v>
      </c>
      <c r="B78" t="s">
        <v>16</v>
      </c>
      <c r="C78">
        <v>76758</v>
      </c>
      <c r="D78">
        <v>10504</v>
      </c>
      <c r="E78">
        <v>31616</v>
      </c>
      <c r="F78" t="s">
        <v>109</v>
      </c>
      <c r="G78" t="s">
        <v>82</v>
      </c>
      <c r="H78" t="s">
        <v>45</v>
      </c>
      <c r="I78" t="s">
        <v>40</v>
      </c>
      <c r="J78" s="2">
        <v>150</v>
      </c>
      <c r="K78" t="s">
        <v>113</v>
      </c>
      <c r="L78" s="1">
        <v>44693</v>
      </c>
      <c r="M78" t="s">
        <v>17</v>
      </c>
      <c r="N78">
        <v>34898</v>
      </c>
      <c r="O78">
        <v>36510</v>
      </c>
      <c r="P78">
        <v>247091</v>
      </c>
    </row>
    <row r="79" spans="1:16" x14ac:dyDescent="0.25">
      <c r="A79" s="1">
        <v>44692</v>
      </c>
      <c r="B79" t="s">
        <v>16</v>
      </c>
      <c r="C79">
        <v>76752</v>
      </c>
      <c r="D79">
        <v>10503</v>
      </c>
      <c r="E79">
        <v>3440</v>
      </c>
      <c r="F79" t="s">
        <v>110</v>
      </c>
      <c r="G79" t="s">
        <v>111</v>
      </c>
      <c r="H79" t="s">
        <v>18</v>
      </c>
      <c r="I79" t="s">
        <v>36</v>
      </c>
      <c r="J79" s="2">
        <v>100</v>
      </c>
      <c r="K79" t="s">
        <v>114</v>
      </c>
      <c r="L79" s="1">
        <v>44693</v>
      </c>
      <c r="M79" t="s">
        <v>17</v>
      </c>
      <c r="N79">
        <v>34893</v>
      </c>
      <c r="O79">
        <v>36508</v>
      </c>
      <c r="P79">
        <v>246064</v>
      </c>
    </row>
    <row r="80" spans="1:16" x14ac:dyDescent="0.25">
      <c r="A80" s="1">
        <v>44692</v>
      </c>
      <c r="B80" t="s">
        <v>16</v>
      </c>
      <c r="C80">
        <v>76753</v>
      </c>
      <c r="D80">
        <v>10503</v>
      </c>
      <c r="E80">
        <v>3440</v>
      </c>
      <c r="F80" t="s">
        <v>110</v>
      </c>
      <c r="G80" t="s">
        <v>111</v>
      </c>
      <c r="H80" t="s">
        <v>18</v>
      </c>
      <c r="I80" t="s">
        <v>36</v>
      </c>
      <c r="J80" s="2">
        <v>400</v>
      </c>
      <c r="K80" t="s">
        <v>114</v>
      </c>
      <c r="L80" s="1">
        <v>44693</v>
      </c>
      <c r="M80" t="s">
        <v>17</v>
      </c>
      <c r="N80">
        <v>34894</v>
      </c>
      <c r="O80">
        <v>36508</v>
      </c>
      <c r="P80">
        <v>246145</v>
      </c>
    </row>
    <row r="81" spans="1:16" x14ac:dyDescent="0.25">
      <c r="A81" s="1">
        <v>44692</v>
      </c>
      <c r="B81" t="s">
        <v>67</v>
      </c>
      <c r="C81">
        <v>107254</v>
      </c>
      <c r="D81">
        <v>19923</v>
      </c>
      <c r="E81" t="s">
        <v>17</v>
      </c>
      <c r="F81" t="s">
        <v>56</v>
      </c>
      <c r="G81" t="s">
        <v>56</v>
      </c>
      <c r="H81" t="s">
        <v>78</v>
      </c>
      <c r="I81" t="s">
        <v>214</v>
      </c>
      <c r="J81" s="2">
        <v>168</v>
      </c>
      <c r="K81" t="s">
        <v>115</v>
      </c>
      <c r="L81" s="1">
        <v>44692</v>
      </c>
      <c r="M81" t="s">
        <v>116</v>
      </c>
      <c r="N81">
        <v>22932</v>
      </c>
      <c r="O81">
        <v>36512</v>
      </c>
      <c r="P81">
        <v>41001</v>
      </c>
    </row>
    <row r="82" spans="1:16" x14ac:dyDescent="0.25">
      <c r="A82" s="1">
        <v>44692</v>
      </c>
      <c r="B82" t="s">
        <v>67</v>
      </c>
      <c r="C82">
        <v>107254</v>
      </c>
      <c r="D82">
        <v>19923</v>
      </c>
      <c r="E82" t="s">
        <v>17</v>
      </c>
      <c r="F82" t="s">
        <v>56</v>
      </c>
      <c r="G82" t="s">
        <v>56</v>
      </c>
      <c r="H82" t="s">
        <v>78</v>
      </c>
      <c r="I82" t="s">
        <v>215</v>
      </c>
      <c r="J82" s="2">
        <v>120</v>
      </c>
      <c r="K82" t="s">
        <v>115</v>
      </c>
      <c r="L82" s="1">
        <v>44692</v>
      </c>
      <c r="M82" t="s">
        <v>116</v>
      </c>
      <c r="N82">
        <v>22932</v>
      </c>
      <c r="O82">
        <v>36512</v>
      </c>
      <c r="P82">
        <v>41001</v>
      </c>
    </row>
    <row r="83" spans="1:16" x14ac:dyDescent="0.25">
      <c r="A83" s="1">
        <v>44692</v>
      </c>
      <c r="B83" t="s">
        <v>67</v>
      </c>
      <c r="C83">
        <v>107254</v>
      </c>
      <c r="D83">
        <v>19924</v>
      </c>
      <c r="E83" t="s">
        <v>17</v>
      </c>
      <c r="F83" t="s">
        <v>56</v>
      </c>
      <c r="G83" t="s">
        <v>56</v>
      </c>
      <c r="H83" t="s">
        <v>78</v>
      </c>
      <c r="I83" t="s">
        <v>214</v>
      </c>
      <c r="J83" s="2">
        <v>168</v>
      </c>
      <c r="K83" t="s">
        <v>117</v>
      </c>
      <c r="L83" s="1">
        <v>44692</v>
      </c>
      <c r="M83" t="s">
        <v>116</v>
      </c>
      <c r="N83">
        <v>22932</v>
      </c>
      <c r="O83">
        <v>36513</v>
      </c>
      <c r="P83">
        <v>41001</v>
      </c>
    </row>
    <row r="84" spans="1:16" x14ac:dyDescent="0.25">
      <c r="A84" s="1">
        <v>44692</v>
      </c>
      <c r="B84" t="s">
        <v>67</v>
      </c>
      <c r="C84">
        <v>107254</v>
      </c>
      <c r="D84">
        <v>19924</v>
      </c>
      <c r="E84" t="s">
        <v>17</v>
      </c>
      <c r="F84" t="s">
        <v>56</v>
      </c>
      <c r="G84" t="s">
        <v>56</v>
      </c>
      <c r="H84" t="s">
        <v>78</v>
      </c>
      <c r="I84" t="s">
        <v>215</v>
      </c>
      <c r="J84" s="2">
        <v>96</v>
      </c>
      <c r="K84" t="s">
        <v>117</v>
      </c>
      <c r="L84" s="1">
        <v>44692</v>
      </c>
      <c r="M84" t="s">
        <v>116</v>
      </c>
      <c r="N84">
        <v>22932</v>
      </c>
      <c r="O84">
        <v>36513</v>
      </c>
      <c r="P84">
        <v>41001</v>
      </c>
    </row>
    <row r="85" spans="1:16" x14ac:dyDescent="0.25">
      <c r="A85" s="1">
        <v>44692</v>
      </c>
      <c r="B85" t="s">
        <v>67</v>
      </c>
      <c r="C85">
        <v>107250</v>
      </c>
      <c r="D85">
        <v>19927</v>
      </c>
      <c r="E85" t="s">
        <v>17</v>
      </c>
      <c r="F85" t="s">
        <v>56</v>
      </c>
      <c r="G85" t="s">
        <v>56</v>
      </c>
      <c r="H85" t="s">
        <v>31</v>
      </c>
      <c r="I85" t="s">
        <v>214</v>
      </c>
      <c r="J85" s="2">
        <v>528</v>
      </c>
      <c r="K85" t="s">
        <v>118</v>
      </c>
      <c r="L85" s="1">
        <v>44692</v>
      </c>
      <c r="M85" t="s">
        <v>119</v>
      </c>
      <c r="N85">
        <v>22928</v>
      </c>
      <c r="O85" t="s">
        <v>120</v>
      </c>
      <c r="P85">
        <v>40995</v>
      </c>
    </row>
    <row r="86" spans="1:16" x14ac:dyDescent="0.25">
      <c r="A86" s="1">
        <v>44692</v>
      </c>
      <c r="B86" t="s">
        <v>20</v>
      </c>
      <c r="C86">
        <v>149166</v>
      </c>
      <c r="D86">
        <v>19951</v>
      </c>
      <c r="E86" t="s">
        <v>17</v>
      </c>
      <c r="F86" t="s">
        <v>121</v>
      </c>
      <c r="G86" t="s">
        <v>56</v>
      </c>
      <c r="H86" t="s">
        <v>122</v>
      </c>
      <c r="I86" t="s">
        <v>38</v>
      </c>
      <c r="J86" s="2">
        <v>28980</v>
      </c>
      <c r="K86" t="s">
        <v>24</v>
      </c>
      <c r="L86" s="1">
        <v>44692</v>
      </c>
      <c r="M86" t="s">
        <v>17</v>
      </c>
      <c r="N86">
        <v>32056</v>
      </c>
      <c r="O86" t="s">
        <v>123</v>
      </c>
      <c r="P86">
        <v>247628</v>
      </c>
    </row>
    <row r="87" spans="1:16" x14ac:dyDescent="0.25">
      <c r="A87" s="1">
        <v>44693</v>
      </c>
      <c r="B87" t="s">
        <v>16</v>
      </c>
      <c r="C87">
        <v>76764</v>
      </c>
      <c r="D87">
        <v>10506</v>
      </c>
      <c r="E87">
        <v>3440</v>
      </c>
      <c r="F87" t="s">
        <v>56</v>
      </c>
      <c r="G87" t="s">
        <v>124</v>
      </c>
      <c r="H87" t="s">
        <v>18</v>
      </c>
      <c r="I87" t="s">
        <v>218</v>
      </c>
      <c r="J87" s="2">
        <v>24</v>
      </c>
      <c r="K87" t="s">
        <v>28</v>
      </c>
      <c r="L87" s="1">
        <v>44697</v>
      </c>
      <c r="M87" t="s">
        <v>17</v>
      </c>
      <c r="N87">
        <v>34901</v>
      </c>
      <c r="O87">
        <v>152</v>
      </c>
      <c r="P87">
        <v>246654</v>
      </c>
    </row>
    <row r="88" spans="1:16" x14ac:dyDescent="0.25">
      <c r="A88" s="1">
        <v>44693</v>
      </c>
      <c r="B88" t="s">
        <v>16</v>
      </c>
      <c r="C88">
        <v>76774</v>
      </c>
      <c r="D88">
        <v>10505</v>
      </c>
      <c r="E88">
        <v>29</v>
      </c>
      <c r="F88" t="s">
        <v>125</v>
      </c>
      <c r="G88" t="s">
        <v>111</v>
      </c>
      <c r="H88" t="s">
        <v>126</v>
      </c>
      <c r="I88" t="s">
        <v>218</v>
      </c>
      <c r="J88" s="2">
        <v>24</v>
      </c>
      <c r="K88" t="s">
        <v>127</v>
      </c>
      <c r="L88" s="1">
        <v>44697</v>
      </c>
      <c r="M88" t="s">
        <v>17</v>
      </c>
      <c r="N88">
        <v>34911</v>
      </c>
      <c r="O88">
        <v>153</v>
      </c>
      <c r="P88">
        <v>246653</v>
      </c>
    </row>
    <row r="89" spans="1:16" x14ac:dyDescent="0.25">
      <c r="A89" s="1">
        <v>44693</v>
      </c>
      <c r="B89" t="s">
        <v>25</v>
      </c>
      <c r="C89">
        <v>107268</v>
      </c>
      <c r="D89" t="s">
        <v>17</v>
      </c>
      <c r="E89">
        <v>32351</v>
      </c>
      <c r="F89" t="s">
        <v>128</v>
      </c>
      <c r="G89" t="s">
        <v>105</v>
      </c>
      <c r="H89" t="s">
        <v>26</v>
      </c>
      <c r="I89" t="s">
        <v>39</v>
      </c>
      <c r="J89" s="2">
        <v>100</v>
      </c>
      <c r="K89" t="s">
        <v>19</v>
      </c>
      <c r="L89" s="1">
        <v>44694</v>
      </c>
      <c r="M89" t="s">
        <v>17</v>
      </c>
      <c r="N89">
        <v>22939</v>
      </c>
      <c r="O89" t="s">
        <v>17</v>
      </c>
      <c r="P89">
        <v>40983</v>
      </c>
    </row>
    <row r="90" spans="1:16" x14ac:dyDescent="0.25">
      <c r="A90" s="1">
        <v>44693</v>
      </c>
      <c r="B90" t="s">
        <v>25</v>
      </c>
      <c r="C90">
        <v>107269</v>
      </c>
      <c r="D90" t="s">
        <v>17</v>
      </c>
      <c r="E90">
        <v>32351</v>
      </c>
      <c r="F90" t="s">
        <v>128</v>
      </c>
      <c r="G90" t="s">
        <v>105</v>
      </c>
      <c r="H90" t="s">
        <v>26</v>
      </c>
      <c r="I90" t="s">
        <v>219</v>
      </c>
      <c r="J90" s="2">
        <v>288</v>
      </c>
      <c r="K90" t="s">
        <v>19</v>
      </c>
      <c r="L90" s="1">
        <v>44694</v>
      </c>
      <c r="M90" t="s">
        <v>17</v>
      </c>
      <c r="N90">
        <v>22940</v>
      </c>
      <c r="O90" t="s">
        <v>17</v>
      </c>
      <c r="P90">
        <v>41022</v>
      </c>
    </row>
    <row r="91" spans="1:16" x14ac:dyDescent="0.25">
      <c r="A91" s="1">
        <v>44693</v>
      </c>
      <c r="B91" t="s">
        <v>25</v>
      </c>
      <c r="C91">
        <v>107267</v>
      </c>
      <c r="D91">
        <v>19942</v>
      </c>
      <c r="E91">
        <v>32351</v>
      </c>
      <c r="F91" t="s">
        <v>128</v>
      </c>
      <c r="G91" t="s">
        <v>105</v>
      </c>
      <c r="H91" t="s">
        <v>26</v>
      </c>
      <c r="I91" t="s">
        <v>220</v>
      </c>
      <c r="J91" s="2">
        <v>240</v>
      </c>
      <c r="K91" t="s">
        <v>129</v>
      </c>
      <c r="L91" s="1">
        <v>44694</v>
      </c>
      <c r="M91" t="s">
        <v>17</v>
      </c>
      <c r="N91">
        <v>22938</v>
      </c>
      <c r="O91">
        <v>36307</v>
      </c>
      <c r="P91">
        <v>40847</v>
      </c>
    </row>
    <row r="92" spans="1:16" x14ac:dyDescent="0.25">
      <c r="A92" s="1">
        <v>44693</v>
      </c>
      <c r="B92" t="s">
        <v>20</v>
      </c>
      <c r="C92">
        <v>149203</v>
      </c>
      <c r="D92">
        <v>19952</v>
      </c>
      <c r="E92" t="s">
        <v>17</v>
      </c>
      <c r="F92" t="s">
        <v>130</v>
      </c>
      <c r="G92" t="s">
        <v>56</v>
      </c>
      <c r="H92" t="s">
        <v>23</v>
      </c>
      <c r="I92" t="s">
        <v>38</v>
      </c>
      <c r="J92" s="2">
        <v>29240</v>
      </c>
      <c r="K92" t="s">
        <v>131</v>
      </c>
      <c r="L92" s="1">
        <v>44693</v>
      </c>
      <c r="M92" t="s">
        <v>17</v>
      </c>
      <c r="N92">
        <v>32082</v>
      </c>
      <c r="O92">
        <v>36538</v>
      </c>
      <c r="P92">
        <v>247718</v>
      </c>
    </row>
    <row r="93" spans="1:16" x14ac:dyDescent="0.25">
      <c r="A93" s="1">
        <v>44694</v>
      </c>
      <c r="B93" t="s">
        <v>16</v>
      </c>
      <c r="C93">
        <v>76793</v>
      </c>
      <c r="D93" t="s">
        <v>17</v>
      </c>
      <c r="E93">
        <v>3440</v>
      </c>
      <c r="F93" t="s">
        <v>132</v>
      </c>
      <c r="G93" t="s">
        <v>111</v>
      </c>
      <c r="H93" t="s">
        <v>18</v>
      </c>
      <c r="I93" t="s">
        <v>34</v>
      </c>
      <c r="J93" s="2">
        <v>150</v>
      </c>
      <c r="K93" t="s">
        <v>19</v>
      </c>
      <c r="L93" s="1">
        <v>44697</v>
      </c>
      <c r="M93" t="s">
        <v>17</v>
      </c>
      <c r="N93">
        <v>34925</v>
      </c>
      <c r="O93" t="s">
        <v>17</v>
      </c>
      <c r="P93">
        <v>242125</v>
      </c>
    </row>
    <row r="94" spans="1:16" x14ac:dyDescent="0.25">
      <c r="A94" s="1">
        <v>44694</v>
      </c>
      <c r="B94" t="s">
        <v>16</v>
      </c>
      <c r="C94">
        <v>76795</v>
      </c>
      <c r="D94" t="s">
        <v>17</v>
      </c>
      <c r="E94">
        <v>3440</v>
      </c>
      <c r="F94" t="s">
        <v>132</v>
      </c>
      <c r="G94" t="s">
        <v>111</v>
      </c>
      <c r="H94" t="s">
        <v>18</v>
      </c>
      <c r="I94" t="s">
        <v>34</v>
      </c>
      <c r="J94" s="2">
        <v>100</v>
      </c>
      <c r="K94" t="s">
        <v>19</v>
      </c>
      <c r="L94" s="1">
        <v>44697</v>
      </c>
      <c r="M94" t="s">
        <v>17</v>
      </c>
      <c r="N94">
        <v>34927</v>
      </c>
      <c r="O94" t="s">
        <v>17</v>
      </c>
      <c r="P94">
        <v>245150</v>
      </c>
    </row>
    <row r="95" spans="1:16" x14ac:dyDescent="0.25">
      <c r="A95" s="1">
        <v>44694</v>
      </c>
      <c r="B95" t="s">
        <v>16</v>
      </c>
      <c r="C95">
        <v>76796</v>
      </c>
      <c r="D95" t="s">
        <v>17</v>
      </c>
      <c r="E95">
        <v>3440</v>
      </c>
      <c r="F95" t="s">
        <v>132</v>
      </c>
      <c r="G95" t="s">
        <v>111</v>
      </c>
      <c r="H95" t="s">
        <v>18</v>
      </c>
      <c r="I95" t="s">
        <v>34</v>
      </c>
      <c r="J95" s="2">
        <v>150</v>
      </c>
      <c r="K95" t="s">
        <v>19</v>
      </c>
      <c r="L95" s="1">
        <v>44697</v>
      </c>
      <c r="M95" t="s">
        <v>17</v>
      </c>
      <c r="N95">
        <v>34928</v>
      </c>
      <c r="O95" t="s">
        <v>17</v>
      </c>
      <c r="P95">
        <v>246147</v>
      </c>
    </row>
    <row r="96" spans="1:16" x14ac:dyDescent="0.25">
      <c r="A96" s="1">
        <v>44694</v>
      </c>
      <c r="B96" t="s">
        <v>16</v>
      </c>
      <c r="C96">
        <v>76798</v>
      </c>
      <c r="D96" t="s">
        <v>17</v>
      </c>
      <c r="E96">
        <v>3440</v>
      </c>
      <c r="F96" t="s">
        <v>132</v>
      </c>
      <c r="G96" t="s">
        <v>111</v>
      </c>
      <c r="H96" t="s">
        <v>18</v>
      </c>
      <c r="I96" t="s">
        <v>39</v>
      </c>
      <c r="J96" s="2">
        <v>200</v>
      </c>
      <c r="K96" t="s">
        <v>19</v>
      </c>
      <c r="L96" s="1">
        <v>44697</v>
      </c>
      <c r="M96" t="s">
        <v>17</v>
      </c>
      <c r="N96">
        <v>34930</v>
      </c>
      <c r="O96" t="s">
        <v>17</v>
      </c>
      <c r="P96">
        <v>246651</v>
      </c>
    </row>
    <row r="97" spans="1:16" x14ac:dyDescent="0.25">
      <c r="A97" s="1">
        <v>44694</v>
      </c>
      <c r="B97" t="s">
        <v>16</v>
      </c>
      <c r="C97">
        <v>76827</v>
      </c>
      <c r="D97" t="s">
        <v>17</v>
      </c>
      <c r="E97">
        <v>1699</v>
      </c>
      <c r="F97" t="s">
        <v>133</v>
      </c>
      <c r="G97" t="s">
        <v>134</v>
      </c>
      <c r="H97" t="s">
        <v>135</v>
      </c>
      <c r="I97" t="s">
        <v>39</v>
      </c>
      <c r="J97" s="2">
        <v>550</v>
      </c>
      <c r="K97" t="s">
        <v>19</v>
      </c>
      <c r="L97" s="1">
        <v>44698</v>
      </c>
      <c r="M97" t="s">
        <v>17</v>
      </c>
      <c r="N97">
        <v>34952</v>
      </c>
      <c r="O97" t="s">
        <v>17</v>
      </c>
      <c r="P97">
        <v>246770</v>
      </c>
    </row>
    <row r="98" spans="1:16" x14ac:dyDescent="0.25">
      <c r="A98" s="1">
        <v>44694</v>
      </c>
      <c r="B98" t="s">
        <v>16</v>
      </c>
      <c r="C98">
        <v>76827</v>
      </c>
      <c r="D98" t="s">
        <v>17</v>
      </c>
      <c r="E98">
        <v>1699</v>
      </c>
      <c r="F98" t="s">
        <v>133</v>
      </c>
      <c r="G98" t="s">
        <v>134</v>
      </c>
      <c r="H98" t="s">
        <v>135</v>
      </c>
      <c r="I98" t="s">
        <v>208</v>
      </c>
      <c r="J98" s="2">
        <v>200</v>
      </c>
      <c r="K98" t="s">
        <v>19</v>
      </c>
      <c r="L98" s="1">
        <v>44698</v>
      </c>
      <c r="M98" t="s">
        <v>17</v>
      </c>
      <c r="N98">
        <v>34952</v>
      </c>
      <c r="O98" t="s">
        <v>17</v>
      </c>
      <c r="P98">
        <v>246770</v>
      </c>
    </row>
    <row r="99" spans="1:16" x14ac:dyDescent="0.25">
      <c r="A99" s="1">
        <v>44694</v>
      </c>
      <c r="B99" t="s">
        <v>16</v>
      </c>
      <c r="C99">
        <v>76794</v>
      </c>
      <c r="D99">
        <v>10507</v>
      </c>
      <c r="E99">
        <v>3440</v>
      </c>
      <c r="F99" t="s">
        <v>132</v>
      </c>
      <c r="G99" t="s">
        <v>111</v>
      </c>
      <c r="H99" t="s">
        <v>18</v>
      </c>
      <c r="I99" t="s">
        <v>36</v>
      </c>
      <c r="J99" s="2">
        <v>200</v>
      </c>
      <c r="K99" t="s">
        <v>77</v>
      </c>
      <c r="L99" s="1">
        <v>44697</v>
      </c>
      <c r="M99" t="s">
        <v>17</v>
      </c>
      <c r="N99">
        <v>34926</v>
      </c>
      <c r="O99">
        <v>36551</v>
      </c>
      <c r="P99">
        <v>244304</v>
      </c>
    </row>
    <row r="100" spans="1:16" x14ac:dyDescent="0.25">
      <c r="A100" s="1">
        <v>44694</v>
      </c>
      <c r="B100" t="s">
        <v>16</v>
      </c>
      <c r="C100">
        <v>76797</v>
      </c>
      <c r="D100">
        <v>10507</v>
      </c>
      <c r="E100">
        <v>3440</v>
      </c>
      <c r="F100" t="s">
        <v>132</v>
      </c>
      <c r="G100" t="s">
        <v>111</v>
      </c>
      <c r="H100" t="s">
        <v>18</v>
      </c>
      <c r="I100" t="s">
        <v>36</v>
      </c>
      <c r="J100" s="2">
        <v>300</v>
      </c>
      <c r="K100" t="s">
        <v>77</v>
      </c>
      <c r="L100" s="1">
        <v>44697</v>
      </c>
      <c r="M100" t="s">
        <v>17</v>
      </c>
      <c r="N100">
        <v>34929</v>
      </c>
      <c r="O100">
        <v>36551</v>
      </c>
      <c r="P100">
        <v>246650</v>
      </c>
    </row>
    <row r="101" spans="1:16" x14ac:dyDescent="0.25">
      <c r="A101" s="1">
        <v>44694</v>
      </c>
      <c r="B101" t="s">
        <v>16</v>
      </c>
      <c r="C101">
        <v>76827</v>
      </c>
      <c r="D101">
        <v>10508</v>
      </c>
      <c r="E101">
        <v>1699</v>
      </c>
      <c r="F101" t="s">
        <v>133</v>
      </c>
      <c r="G101" t="s">
        <v>134</v>
      </c>
      <c r="H101" t="s">
        <v>135</v>
      </c>
      <c r="I101" t="s">
        <v>36</v>
      </c>
      <c r="J101" s="2">
        <v>300</v>
      </c>
      <c r="K101" t="s">
        <v>136</v>
      </c>
      <c r="L101" s="1">
        <v>44698</v>
      </c>
      <c r="M101" t="s">
        <v>17</v>
      </c>
      <c r="N101">
        <v>34952</v>
      </c>
      <c r="O101">
        <v>36293</v>
      </c>
      <c r="P101">
        <v>246770</v>
      </c>
    </row>
    <row r="102" spans="1:16" x14ac:dyDescent="0.25">
      <c r="A102" s="1">
        <v>44694</v>
      </c>
      <c r="B102" t="s">
        <v>25</v>
      </c>
      <c r="C102">
        <v>107277</v>
      </c>
      <c r="D102" t="s">
        <v>17</v>
      </c>
      <c r="E102">
        <v>32299</v>
      </c>
      <c r="F102" t="s">
        <v>137</v>
      </c>
      <c r="G102" t="s">
        <v>105</v>
      </c>
      <c r="H102" t="s">
        <v>26</v>
      </c>
      <c r="I102" t="s">
        <v>34</v>
      </c>
      <c r="J102" s="2">
        <v>350</v>
      </c>
      <c r="K102" t="s">
        <v>19</v>
      </c>
      <c r="L102" s="1">
        <v>44696</v>
      </c>
      <c r="M102" t="s">
        <v>17</v>
      </c>
      <c r="N102">
        <v>22943</v>
      </c>
      <c r="O102" t="s">
        <v>17</v>
      </c>
      <c r="P102">
        <v>41034</v>
      </c>
    </row>
    <row r="103" spans="1:16" x14ac:dyDescent="0.25">
      <c r="A103" s="1">
        <v>44694</v>
      </c>
      <c r="B103" t="s">
        <v>25</v>
      </c>
      <c r="C103">
        <v>107278</v>
      </c>
      <c r="D103" t="s">
        <v>17</v>
      </c>
      <c r="E103">
        <v>32299</v>
      </c>
      <c r="F103" t="s">
        <v>137</v>
      </c>
      <c r="G103" t="s">
        <v>105</v>
      </c>
      <c r="H103" t="s">
        <v>26</v>
      </c>
      <c r="I103" t="s">
        <v>39</v>
      </c>
      <c r="J103" s="2">
        <v>400</v>
      </c>
      <c r="K103" t="s">
        <v>19</v>
      </c>
      <c r="L103" s="1">
        <v>44696</v>
      </c>
      <c r="M103" t="s">
        <v>17</v>
      </c>
      <c r="N103">
        <v>22944</v>
      </c>
      <c r="O103" t="s">
        <v>17</v>
      </c>
      <c r="P103">
        <v>41032</v>
      </c>
    </row>
    <row r="104" spans="1:16" x14ac:dyDescent="0.25">
      <c r="A104" s="1">
        <v>44694</v>
      </c>
      <c r="B104" t="s">
        <v>25</v>
      </c>
      <c r="C104">
        <v>107278</v>
      </c>
      <c r="D104">
        <v>19960</v>
      </c>
      <c r="E104">
        <v>32299</v>
      </c>
      <c r="F104" t="s">
        <v>137</v>
      </c>
      <c r="G104" t="s">
        <v>105</v>
      </c>
      <c r="H104" t="s">
        <v>26</v>
      </c>
      <c r="I104" t="s">
        <v>40</v>
      </c>
      <c r="J104" s="2">
        <v>300</v>
      </c>
      <c r="K104" t="s">
        <v>27</v>
      </c>
      <c r="L104" s="1">
        <v>44696</v>
      </c>
      <c r="M104" t="s">
        <v>17</v>
      </c>
      <c r="N104">
        <v>22944</v>
      </c>
      <c r="O104">
        <v>36594</v>
      </c>
      <c r="P104">
        <v>41032</v>
      </c>
    </row>
    <row r="105" spans="1:16" x14ac:dyDescent="0.25">
      <c r="A105" s="1">
        <v>44694</v>
      </c>
      <c r="B105" t="s">
        <v>20</v>
      </c>
      <c r="C105">
        <v>149235</v>
      </c>
      <c r="D105">
        <v>19956</v>
      </c>
      <c r="E105">
        <v>403</v>
      </c>
      <c r="F105" t="s">
        <v>138</v>
      </c>
      <c r="G105" t="s">
        <v>139</v>
      </c>
      <c r="H105" t="s">
        <v>23</v>
      </c>
      <c r="I105" t="s">
        <v>38</v>
      </c>
      <c r="J105" s="2">
        <v>28720</v>
      </c>
      <c r="K105" t="s">
        <v>140</v>
      </c>
      <c r="L105" s="1">
        <v>44694</v>
      </c>
      <c r="M105" t="s">
        <v>141</v>
      </c>
      <c r="N105">
        <v>32098</v>
      </c>
      <c r="O105">
        <v>36561</v>
      </c>
      <c r="P105">
        <v>247796</v>
      </c>
    </row>
    <row r="106" spans="1:16" x14ac:dyDescent="0.25">
      <c r="A106" s="1">
        <v>44694</v>
      </c>
      <c r="B106" t="s">
        <v>20</v>
      </c>
      <c r="C106">
        <v>149238</v>
      </c>
      <c r="D106">
        <v>19958</v>
      </c>
      <c r="E106" t="s">
        <v>17</v>
      </c>
      <c r="F106" t="s">
        <v>102</v>
      </c>
      <c r="G106" t="s">
        <v>56</v>
      </c>
      <c r="H106" t="s">
        <v>142</v>
      </c>
      <c r="I106" t="s">
        <v>38</v>
      </c>
      <c r="J106" s="2">
        <v>28520</v>
      </c>
      <c r="K106" t="s">
        <v>21</v>
      </c>
      <c r="L106" s="1">
        <v>44694</v>
      </c>
      <c r="M106" t="s">
        <v>32</v>
      </c>
      <c r="N106">
        <v>32099</v>
      </c>
      <c r="O106">
        <v>36560</v>
      </c>
      <c r="P106">
        <v>247813</v>
      </c>
    </row>
    <row r="107" spans="1:16" x14ac:dyDescent="0.25">
      <c r="A107" s="1">
        <v>44697</v>
      </c>
      <c r="B107" t="s">
        <v>16</v>
      </c>
      <c r="C107">
        <v>76835</v>
      </c>
      <c r="D107" t="s">
        <v>17</v>
      </c>
      <c r="E107">
        <v>3532</v>
      </c>
      <c r="F107" t="s">
        <v>143</v>
      </c>
      <c r="G107" t="s">
        <v>111</v>
      </c>
      <c r="H107" t="s">
        <v>18</v>
      </c>
      <c r="I107" t="s">
        <v>35</v>
      </c>
      <c r="J107" s="2">
        <v>100</v>
      </c>
      <c r="K107" t="s">
        <v>19</v>
      </c>
      <c r="L107" s="1">
        <v>44699</v>
      </c>
      <c r="M107" t="s">
        <v>17</v>
      </c>
      <c r="N107">
        <v>34958</v>
      </c>
      <c r="O107" t="s">
        <v>17</v>
      </c>
      <c r="P107">
        <v>246893</v>
      </c>
    </row>
    <row r="108" spans="1:16" x14ac:dyDescent="0.25">
      <c r="A108" s="1">
        <v>44697</v>
      </c>
      <c r="B108" t="s">
        <v>16</v>
      </c>
      <c r="C108">
        <v>76835</v>
      </c>
      <c r="D108" t="s">
        <v>17</v>
      </c>
      <c r="E108">
        <v>3532</v>
      </c>
      <c r="F108" t="s">
        <v>143</v>
      </c>
      <c r="G108" t="s">
        <v>111</v>
      </c>
      <c r="H108" t="s">
        <v>18</v>
      </c>
      <c r="I108" t="s">
        <v>39</v>
      </c>
      <c r="J108" s="2">
        <v>700</v>
      </c>
      <c r="K108" t="s">
        <v>19</v>
      </c>
      <c r="L108" s="1">
        <v>44699</v>
      </c>
      <c r="M108" t="s">
        <v>17</v>
      </c>
      <c r="N108">
        <v>34958</v>
      </c>
      <c r="O108" t="s">
        <v>17</v>
      </c>
      <c r="P108">
        <v>246893</v>
      </c>
    </row>
    <row r="109" spans="1:16" x14ac:dyDescent="0.25">
      <c r="A109" s="1">
        <v>44697</v>
      </c>
      <c r="B109" t="s">
        <v>16</v>
      </c>
      <c r="C109">
        <v>76835</v>
      </c>
      <c r="D109">
        <v>10510</v>
      </c>
      <c r="E109">
        <v>3532</v>
      </c>
      <c r="F109" t="s">
        <v>143</v>
      </c>
      <c r="G109" t="s">
        <v>111</v>
      </c>
      <c r="H109" t="s">
        <v>18</v>
      </c>
      <c r="I109" t="s">
        <v>221</v>
      </c>
      <c r="J109" s="2">
        <v>195</v>
      </c>
      <c r="K109" t="s">
        <v>144</v>
      </c>
      <c r="L109" s="1">
        <v>44699</v>
      </c>
      <c r="M109" t="s">
        <v>17</v>
      </c>
      <c r="N109">
        <v>34958</v>
      </c>
      <c r="O109">
        <v>36600</v>
      </c>
      <c r="P109">
        <v>246893</v>
      </c>
    </row>
    <row r="110" spans="1:16" x14ac:dyDescent="0.25">
      <c r="A110" s="1">
        <v>44697</v>
      </c>
      <c r="B110" t="s">
        <v>16</v>
      </c>
      <c r="C110">
        <v>76835</v>
      </c>
      <c r="D110">
        <v>10510</v>
      </c>
      <c r="E110">
        <v>3532</v>
      </c>
      <c r="F110" t="s">
        <v>143</v>
      </c>
      <c r="G110" t="s">
        <v>111</v>
      </c>
      <c r="H110" t="s">
        <v>18</v>
      </c>
      <c r="I110" t="s">
        <v>40</v>
      </c>
      <c r="J110" s="2">
        <v>300</v>
      </c>
      <c r="K110" t="s">
        <v>144</v>
      </c>
      <c r="L110" s="1">
        <v>44699</v>
      </c>
      <c r="M110" t="s">
        <v>17</v>
      </c>
      <c r="N110">
        <v>34958</v>
      </c>
      <c r="O110">
        <v>36600</v>
      </c>
      <c r="P110">
        <v>246893</v>
      </c>
    </row>
    <row r="111" spans="1:16" x14ac:dyDescent="0.25">
      <c r="A111" s="1">
        <v>44697</v>
      </c>
      <c r="B111" t="s">
        <v>16</v>
      </c>
      <c r="C111">
        <v>76844</v>
      </c>
      <c r="D111">
        <v>10509</v>
      </c>
      <c r="E111">
        <v>3532</v>
      </c>
      <c r="F111" t="s">
        <v>145</v>
      </c>
      <c r="G111" t="s">
        <v>146</v>
      </c>
      <c r="H111" t="s">
        <v>18</v>
      </c>
      <c r="I111" t="s">
        <v>40</v>
      </c>
      <c r="J111" s="2">
        <v>1100</v>
      </c>
      <c r="K111" t="s">
        <v>147</v>
      </c>
      <c r="L111" s="1">
        <v>44699</v>
      </c>
      <c r="M111" t="s">
        <v>17</v>
      </c>
      <c r="N111">
        <v>34964</v>
      </c>
      <c r="O111">
        <v>36001</v>
      </c>
      <c r="P111">
        <v>246766</v>
      </c>
    </row>
    <row r="112" spans="1:16" x14ac:dyDescent="0.25">
      <c r="A112" s="1">
        <v>44697</v>
      </c>
      <c r="B112" t="s">
        <v>20</v>
      </c>
      <c r="C112">
        <v>149264</v>
      </c>
      <c r="D112">
        <v>19964</v>
      </c>
      <c r="E112" t="s">
        <v>17</v>
      </c>
      <c r="F112" t="s">
        <v>148</v>
      </c>
      <c r="G112" t="s">
        <v>56</v>
      </c>
      <c r="H112" t="s">
        <v>78</v>
      </c>
      <c r="I112" t="s">
        <v>38</v>
      </c>
      <c r="J112" s="2">
        <v>28900</v>
      </c>
      <c r="K112" t="s">
        <v>92</v>
      </c>
      <c r="L112" s="1">
        <v>44697</v>
      </c>
      <c r="M112" t="s">
        <v>149</v>
      </c>
      <c r="N112">
        <v>32117</v>
      </c>
      <c r="O112">
        <v>36598</v>
      </c>
      <c r="P112">
        <v>247982</v>
      </c>
    </row>
    <row r="113" spans="1:16" x14ac:dyDescent="0.25">
      <c r="A113" s="1">
        <v>44697</v>
      </c>
      <c r="B113" t="s">
        <v>20</v>
      </c>
      <c r="C113">
        <v>149265</v>
      </c>
      <c r="D113">
        <v>19959</v>
      </c>
      <c r="E113" t="s">
        <v>17</v>
      </c>
      <c r="F113" t="s">
        <v>150</v>
      </c>
      <c r="G113" t="s">
        <v>56</v>
      </c>
      <c r="H113" t="s">
        <v>23</v>
      </c>
      <c r="I113" t="s">
        <v>38</v>
      </c>
      <c r="J113" s="2">
        <v>29250</v>
      </c>
      <c r="K113" t="s">
        <v>73</v>
      </c>
      <c r="L113" s="1">
        <v>44697</v>
      </c>
      <c r="M113" t="s">
        <v>74</v>
      </c>
      <c r="N113">
        <v>32118</v>
      </c>
      <c r="O113">
        <v>36599</v>
      </c>
      <c r="P113">
        <v>247985</v>
      </c>
    </row>
    <row r="114" spans="1:16" x14ac:dyDescent="0.25">
      <c r="A114" s="1">
        <v>44698</v>
      </c>
      <c r="B114" t="s">
        <v>16</v>
      </c>
      <c r="C114">
        <v>76874</v>
      </c>
      <c r="D114" t="s">
        <v>17</v>
      </c>
      <c r="E114">
        <v>3532</v>
      </c>
      <c r="F114" t="s">
        <v>151</v>
      </c>
      <c r="G114" t="s">
        <v>111</v>
      </c>
      <c r="H114" t="s">
        <v>18</v>
      </c>
      <c r="I114" t="s">
        <v>34</v>
      </c>
      <c r="J114" s="2">
        <v>300</v>
      </c>
      <c r="K114" t="s">
        <v>19</v>
      </c>
      <c r="L114" s="1">
        <v>44700</v>
      </c>
      <c r="M114" t="s">
        <v>17</v>
      </c>
      <c r="N114">
        <v>34986</v>
      </c>
      <c r="O114" t="s">
        <v>17</v>
      </c>
      <c r="P114">
        <v>244898</v>
      </c>
    </row>
    <row r="115" spans="1:16" x14ac:dyDescent="0.25">
      <c r="A115" s="1">
        <v>44698</v>
      </c>
      <c r="B115" t="s">
        <v>16</v>
      </c>
      <c r="C115">
        <v>76875</v>
      </c>
      <c r="D115" t="s">
        <v>17</v>
      </c>
      <c r="E115">
        <v>3532</v>
      </c>
      <c r="F115" t="s">
        <v>151</v>
      </c>
      <c r="G115" t="s">
        <v>111</v>
      </c>
      <c r="H115" t="s">
        <v>18</v>
      </c>
      <c r="I115" t="s">
        <v>35</v>
      </c>
      <c r="J115" s="2">
        <v>600</v>
      </c>
      <c r="K115" t="s">
        <v>19</v>
      </c>
      <c r="L115" s="1">
        <v>44700</v>
      </c>
      <c r="M115" t="s">
        <v>17</v>
      </c>
      <c r="N115">
        <v>34987</v>
      </c>
      <c r="O115" t="s">
        <v>17</v>
      </c>
      <c r="P115">
        <v>246892</v>
      </c>
    </row>
    <row r="116" spans="1:16" x14ac:dyDescent="0.25">
      <c r="A116" s="1">
        <v>44698</v>
      </c>
      <c r="B116" t="s">
        <v>16</v>
      </c>
      <c r="C116">
        <v>76875</v>
      </c>
      <c r="D116" t="s">
        <v>17</v>
      </c>
      <c r="E116">
        <v>3532</v>
      </c>
      <c r="F116" t="s">
        <v>151</v>
      </c>
      <c r="G116" t="s">
        <v>111</v>
      </c>
      <c r="H116" t="s">
        <v>18</v>
      </c>
      <c r="I116" t="s">
        <v>39</v>
      </c>
      <c r="J116" s="2">
        <v>200</v>
      </c>
      <c r="K116" t="s">
        <v>19</v>
      </c>
      <c r="L116" s="1">
        <v>44700</v>
      </c>
      <c r="M116" t="s">
        <v>17</v>
      </c>
      <c r="N116">
        <v>34987</v>
      </c>
      <c r="O116" t="s">
        <v>17</v>
      </c>
      <c r="P116">
        <v>246892</v>
      </c>
    </row>
    <row r="117" spans="1:16" x14ac:dyDescent="0.25">
      <c r="A117" s="1">
        <v>44698</v>
      </c>
      <c r="B117" t="s">
        <v>16</v>
      </c>
      <c r="C117">
        <v>76877</v>
      </c>
      <c r="D117" t="s">
        <v>17</v>
      </c>
      <c r="E117">
        <v>32</v>
      </c>
      <c r="F117" t="s">
        <v>152</v>
      </c>
      <c r="G117" t="s">
        <v>111</v>
      </c>
      <c r="H117" t="s">
        <v>153</v>
      </c>
      <c r="I117" t="s">
        <v>39</v>
      </c>
      <c r="J117" s="2">
        <v>600</v>
      </c>
      <c r="K117" t="s">
        <v>19</v>
      </c>
      <c r="L117" s="1">
        <v>44700</v>
      </c>
      <c r="M117" t="s">
        <v>17</v>
      </c>
      <c r="N117">
        <v>34989</v>
      </c>
      <c r="O117" t="s">
        <v>17</v>
      </c>
      <c r="P117">
        <v>246768</v>
      </c>
    </row>
    <row r="118" spans="1:16" x14ac:dyDescent="0.25">
      <c r="A118" s="1">
        <v>44698</v>
      </c>
      <c r="B118" t="s">
        <v>16</v>
      </c>
      <c r="C118">
        <v>76877</v>
      </c>
      <c r="D118">
        <v>10511</v>
      </c>
      <c r="E118">
        <v>32</v>
      </c>
      <c r="F118" t="s">
        <v>152</v>
      </c>
      <c r="G118" t="s">
        <v>111</v>
      </c>
      <c r="H118" t="s">
        <v>153</v>
      </c>
      <c r="I118" t="s">
        <v>33</v>
      </c>
      <c r="J118" s="2">
        <v>300</v>
      </c>
      <c r="K118" t="s">
        <v>59</v>
      </c>
      <c r="L118" s="1">
        <v>44700</v>
      </c>
      <c r="M118" t="s">
        <v>17</v>
      </c>
      <c r="N118">
        <v>34989</v>
      </c>
      <c r="O118">
        <v>36002</v>
      </c>
      <c r="P118">
        <v>246768</v>
      </c>
    </row>
    <row r="119" spans="1:16" x14ac:dyDescent="0.25">
      <c r="A119" s="1">
        <v>44698</v>
      </c>
      <c r="B119" t="s">
        <v>16</v>
      </c>
      <c r="C119">
        <v>76876</v>
      </c>
      <c r="D119">
        <v>10511</v>
      </c>
      <c r="E119">
        <v>32</v>
      </c>
      <c r="F119" t="s">
        <v>152</v>
      </c>
      <c r="G119" t="s">
        <v>111</v>
      </c>
      <c r="H119" t="s">
        <v>153</v>
      </c>
      <c r="I119" t="s">
        <v>36</v>
      </c>
      <c r="J119" s="2">
        <v>200</v>
      </c>
      <c r="K119" t="s">
        <v>59</v>
      </c>
      <c r="L119" s="1">
        <v>44700</v>
      </c>
      <c r="M119" t="s">
        <v>17</v>
      </c>
      <c r="N119">
        <v>34988</v>
      </c>
      <c r="O119">
        <v>36002</v>
      </c>
      <c r="P119">
        <v>245611</v>
      </c>
    </row>
    <row r="120" spans="1:16" x14ac:dyDescent="0.25">
      <c r="A120" s="1">
        <v>44698</v>
      </c>
      <c r="B120" t="s">
        <v>67</v>
      </c>
      <c r="C120">
        <v>107306</v>
      </c>
      <c r="D120">
        <v>19953</v>
      </c>
      <c r="E120" t="s">
        <v>17</v>
      </c>
      <c r="F120" t="s">
        <v>56</v>
      </c>
      <c r="G120" t="s">
        <v>56</v>
      </c>
      <c r="H120" t="s">
        <v>142</v>
      </c>
      <c r="I120" t="s">
        <v>222</v>
      </c>
      <c r="J120" s="2">
        <v>50</v>
      </c>
      <c r="K120" t="s">
        <v>19</v>
      </c>
      <c r="L120" s="1">
        <v>44698</v>
      </c>
      <c r="M120" t="s">
        <v>154</v>
      </c>
      <c r="N120">
        <v>22954</v>
      </c>
      <c r="O120" t="s">
        <v>17</v>
      </c>
      <c r="P120">
        <v>41071</v>
      </c>
    </row>
    <row r="121" spans="1:16" x14ac:dyDescent="0.25">
      <c r="A121" s="1">
        <v>44698</v>
      </c>
      <c r="B121" t="s">
        <v>67</v>
      </c>
      <c r="C121">
        <v>107307</v>
      </c>
      <c r="D121">
        <v>19953</v>
      </c>
      <c r="E121" t="s">
        <v>17</v>
      </c>
      <c r="F121" t="s">
        <v>56</v>
      </c>
      <c r="G121" t="s">
        <v>56</v>
      </c>
      <c r="H121" t="s">
        <v>142</v>
      </c>
      <c r="I121" t="s">
        <v>222</v>
      </c>
      <c r="J121" s="2">
        <v>450</v>
      </c>
      <c r="K121" t="s">
        <v>19</v>
      </c>
      <c r="L121" s="1">
        <v>44698</v>
      </c>
      <c r="M121" t="s">
        <v>154</v>
      </c>
      <c r="N121">
        <v>22955</v>
      </c>
      <c r="O121" t="s">
        <v>17</v>
      </c>
      <c r="P121">
        <v>41074</v>
      </c>
    </row>
    <row r="122" spans="1:16" x14ac:dyDescent="0.25">
      <c r="A122" s="1">
        <v>44698</v>
      </c>
      <c r="B122" t="s">
        <v>67</v>
      </c>
      <c r="C122">
        <v>107307</v>
      </c>
      <c r="D122">
        <v>19953</v>
      </c>
      <c r="E122" t="s">
        <v>17</v>
      </c>
      <c r="F122" t="s">
        <v>56</v>
      </c>
      <c r="G122" t="s">
        <v>56</v>
      </c>
      <c r="H122" t="s">
        <v>155</v>
      </c>
      <c r="I122" t="s">
        <v>211</v>
      </c>
      <c r="J122" s="2">
        <v>600</v>
      </c>
      <c r="K122" t="s">
        <v>19</v>
      </c>
      <c r="L122" s="1">
        <v>44698</v>
      </c>
      <c r="M122" t="s">
        <v>154</v>
      </c>
      <c r="N122">
        <v>22955</v>
      </c>
      <c r="O122" t="s">
        <v>17</v>
      </c>
      <c r="P122">
        <v>41074</v>
      </c>
    </row>
    <row r="123" spans="1:16" x14ac:dyDescent="0.25">
      <c r="A123" s="1">
        <v>44700</v>
      </c>
      <c r="B123" t="s">
        <v>16</v>
      </c>
      <c r="C123">
        <v>76890</v>
      </c>
      <c r="D123" t="s">
        <v>17</v>
      </c>
      <c r="E123">
        <v>3532</v>
      </c>
      <c r="F123" t="s">
        <v>156</v>
      </c>
      <c r="G123" t="s">
        <v>111</v>
      </c>
      <c r="H123" t="s">
        <v>18</v>
      </c>
      <c r="I123" t="s">
        <v>39</v>
      </c>
      <c r="J123" s="2">
        <v>1100</v>
      </c>
      <c r="K123" t="s">
        <v>19</v>
      </c>
      <c r="L123" s="1">
        <v>44701</v>
      </c>
      <c r="M123" t="s">
        <v>157</v>
      </c>
      <c r="N123">
        <v>34997</v>
      </c>
      <c r="O123" t="s">
        <v>17</v>
      </c>
      <c r="P123">
        <v>248097</v>
      </c>
    </row>
    <row r="124" spans="1:16" x14ac:dyDescent="0.25">
      <c r="A124" s="1">
        <v>44700</v>
      </c>
      <c r="B124" t="s">
        <v>25</v>
      </c>
      <c r="C124">
        <v>107324</v>
      </c>
      <c r="D124" t="s">
        <v>17</v>
      </c>
      <c r="E124">
        <v>32301</v>
      </c>
      <c r="F124" t="s">
        <v>158</v>
      </c>
      <c r="G124" t="s">
        <v>105</v>
      </c>
      <c r="H124" t="s">
        <v>26</v>
      </c>
      <c r="I124" t="s">
        <v>210</v>
      </c>
      <c r="J124" s="2">
        <v>4</v>
      </c>
      <c r="K124" t="s">
        <v>19</v>
      </c>
      <c r="L124" s="1">
        <v>44701</v>
      </c>
      <c r="M124" t="s">
        <v>17</v>
      </c>
      <c r="N124">
        <v>22965</v>
      </c>
      <c r="O124" t="s">
        <v>17</v>
      </c>
      <c r="P124">
        <v>41084</v>
      </c>
    </row>
    <row r="125" spans="1:16" x14ac:dyDescent="0.25">
      <c r="A125" s="1">
        <v>44700</v>
      </c>
      <c r="B125" t="s">
        <v>25</v>
      </c>
      <c r="C125">
        <v>107325</v>
      </c>
      <c r="D125" t="s">
        <v>17</v>
      </c>
      <c r="E125">
        <v>32301</v>
      </c>
      <c r="F125" t="s">
        <v>158</v>
      </c>
      <c r="G125" t="s">
        <v>105</v>
      </c>
      <c r="H125" t="s">
        <v>26</v>
      </c>
      <c r="I125" t="s">
        <v>39</v>
      </c>
      <c r="J125" s="2">
        <v>600</v>
      </c>
      <c r="K125" t="s">
        <v>19</v>
      </c>
      <c r="L125" s="1">
        <v>44701</v>
      </c>
      <c r="M125" t="s">
        <v>17</v>
      </c>
      <c r="N125">
        <v>22966</v>
      </c>
      <c r="O125" t="s">
        <v>17</v>
      </c>
      <c r="P125">
        <v>41089</v>
      </c>
    </row>
    <row r="126" spans="1:16" x14ac:dyDescent="0.25">
      <c r="A126" s="1">
        <v>44700</v>
      </c>
      <c r="B126" t="s">
        <v>25</v>
      </c>
      <c r="C126">
        <v>107325</v>
      </c>
      <c r="D126">
        <v>19962</v>
      </c>
      <c r="E126">
        <v>32301</v>
      </c>
      <c r="F126" t="s">
        <v>158</v>
      </c>
      <c r="G126" t="s">
        <v>105</v>
      </c>
      <c r="H126" t="s">
        <v>26</v>
      </c>
      <c r="I126" t="s">
        <v>40</v>
      </c>
      <c r="J126" s="2">
        <v>400</v>
      </c>
      <c r="K126" t="s">
        <v>159</v>
      </c>
      <c r="L126" s="1">
        <v>44701</v>
      </c>
      <c r="M126" t="s">
        <v>17</v>
      </c>
      <c r="N126">
        <v>22966</v>
      </c>
      <c r="O126">
        <v>36630</v>
      </c>
      <c r="P126">
        <v>41089</v>
      </c>
    </row>
    <row r="127" spans="1:16" x14ac:dyDescent="0.25">
      <c r="A127" s="1">
        <v>44700</v>
      </c>
      <c r="B127" t="s">
        <v>67</v>
      </c>
      <c r="C127">
        <v>107326</v>
      </c>
      <c r="D127">
        <v>19963</v>
      </c>
      <c r="E127" t="s">
        <v>17</v>
      </c>
      <c r="F127" t="s">
        <v>56</v>
      </c>
      <c r="G127" t="s">
        <v>56</v>
      </c>
      <c r="H127" t="s">
        <v>160</v>
      </c>
      <c r="I127" t="s">
        <v>223</v>
      </c>
      <c r="J127" s="2">
        <v>24</v>
      </c>
      <c r="K127" t="s">
        <v>161</v>
      </c>
      <c r="L127" s="1">
        <v>44700</v>
      </c>
      <c r="M127" t="s">
        <v>162</v>
      </c>
      <c r="N127">
        <v>22967</v>
      </c>
      <c r="O127">
        <v>36489</v>
      </c>
      <c r="P127">
        <v>41024</v>
      </c>
    </row>
    <row r="128" spans="1:16" x14ac:dyDescent="0.25">
      <c r="A128" s="1">
        <v>44701</v>
      </c>
      <c r="B128" t="s">
        <v>16</v>
      </c>
      <c r="C128">
        <v>76895</v>
      </c>
      <c r="D128" t="s">
        <v>17</v>
      </c>
      <c r="E128">
        <v>31789</v>
      </c>
      <c r="F128" t="s">
        <v>163</v>
      </c>
      <c r="G128" t="s">
        <v>82</v>
      </c>
      <c r="H128" t="s">
        <v>45</v>
      </c>
      <c r="I128" t="s">
        <v>39</v>
      </c>
      <c r="J128" s="2">
        <v>750</v>
      </c>
      <c r="K128" t="s">
        <v>19</v>
      </c>
      <c r="L128" s="1">
        <v>44705</v>
      </c>
      <c r="M128" t="s">
        <v>17</v>
      </c>
      <c r="N128">
        <v>34999</v>
      </c>
      <c r="O128" t="s">
        <v>17</v>
      </c>
      <c r="P128">
        <v>248124</v>
      </c>
    </row>
    <row r="129" spans="1:16" x14ac:dyDescent="0.25">
      <c r="A129" s="1">
        <v>44701</v>
      </c>
      <c r="B129" t="s">
        <v>16</v>
      </c>
      <c r="C129">
        <v>76895</v>
      </c>
      <c r="D129">
        <v>10512</v>
      </c>
      <c r="E129">
        <v>31789</v>
      </c>
      <c r="F129" t="s">
        <v>163</v>
      </c>
      <c r="G129" t="s">
        <v>82</v>
      </c>
      <c r="H129" t="s">
        <v>45</v>
      </c>
      <c r="I129" t="s">
        <v>37</v>
      </c>
      <c r="J129" s="2">
        <v>100</v>
      </c>
      <c r="K129" t="s">
        <v>28</v>
      </c>
      <c r="L129" s="1">
        <v>44705</v>
      </c>
      <c r="M129" t="s">
        <v>164</v>
      </c>
      <c r="N129">
        <v>34999</v>
      </c>
      <c r="O129">
        <v>36650</v>
      </c>
      <c r="P129">
        <v>248124</v>
      </c>
    </row>
    <row r="130" spans="1:16" x14ac:dyDescent="0.25">
      <c r="A130" s="1">
        <v>44701</v>
      </c>
      <c r="B130" t="s">
        <v>16</v>
      </c>
      <c r="C130">
        <v>76895</v>
      </c>
      <c r="D130">
        <v>10513</v>
      </c>
      <c r="E130">
        <v>31789</v>
      </c>
      <c r="F130" t="s">
        <v>163</v>
      </c>
      <c r="G130" t="s">
        <v>82</v>
      </c>
      <c r="H130" t="s">
        <v>45</v>
      </c>
      <c r="I130" t="s">
        <v>37</v>
      </c>
      <c r="J130" s="2">
        <v>200</v>
      </c>
      <c r="K130" t="s">
        <v>28</v>
      </c>
      <c r="L130" s="1">
        <v>44705</v>
      </c>
      <c r="M130" t="s">
        <v>165</v>
      </c>
      <c r="N130">
        <v>34999</v>
      </c>
      <c r="O130">
        <v>36651</v>
      </c>
      <c r="P130">
        <v>248124</v>
      </c>
    </row>
    <row r="131" spans="1:16" x14ac:dyDescent="0.25">
      <c r="A131" s="1">
        <v>44701</v>
      </c>
      <c r="B131" t="s">
        <v>16</v>
      </c>
      <c r="C131">
        <v>76923</v>
      </c>
      <c r="D131">
        <v>10514</v>
      </c>
      <c r="E131">
        <v>3532</v>
      </c>
      <c r="F131" t="s">
        <v>166</v>
      </c>
      <c r="G131" t="s">
        <v>111</v>
      </c>
      <c r="H131" t="s">
        <v>18</v>
      </c>
      <c r="I131" t="s">
        <v>36</v>
      </c>
      <c r="J131" s="2">
        <v>800</v>
      </c>
      <c r="K131" t="s">
        <v>167</v>
      </c>
      <c r="L131" s="1">
        <v>44705</v>
      </c>
      <c r="M131" t="s">
        <v>17</v>
      </c>
      <c r="N131">
        <v>35021</v>
      </c>
      <c r="O131">
        <v>36649</v>
      </c>
      <c r="P131">
        <v>248123</v>
      </c>
    </row>
    <row r="132" spans="1:16" x14ac:dyDescent="0.25">
      <c r="A132" s="1">
        <v>44701</v>
      </c>
      <c r="B132" t="s">
        <v>16</v>
      </c>
      <c r="C132">
        <v>76922</v>
      </c>
      <c r="D132">
        <v>10514</v>
      </c>
      <c r="E132">
        <v>3532</v>
      </c>
      <c r="F132" t="s">
        <v>166</v>
      </c>
      <c r="G132" t="s">
        <v>111</v>
      </c>
      <c r="H132" t="s">
        <v>18</v>
      </c>
      <c r="I132" t="s">
        <v>40</v>
      </c>
      <c r="J132" s="2">
        <v>300</v>
      </c>
      <c r="K132" t="s">
        <v>167</v>
      </c>
      <c r="L132" s="1">
        <v>44705</v>
      </c>
      <c r="M132" t="s">
        <v>17</v>
      </c>
      <c r="N132">
        <v>35020</v>
      </c>
      <c r="O132">
        <v>36649</v>
      </c>
      <c r="P132">
        <v>246651</v>
      </c>
    </row>
    <row r="133" spans="1:16" x14ac:dyDescent="0.25">
      <c r="A133" s="1">
        <v>44704</v>
      </c>
      <c r="B133" t="s">
        <v>16</v>
      </c>
      <c r="C133">
        <v>76947</v>
      </c>
      <c r="D133" t="s">
        <v>17</v>
      </c>
      <c r="E133">
        <v>3532</v>
      </c>
      <c r="F133" t="s">
        <v>107</v>
      </c>
      <c r="G133" t="s">
        <v>111</v>
      </c>
      <c r="H133" t="s">
        <v>18</v>
      </c>
      <c r="I133" t="s">
        <v>34</v>
      </c>
      <c r="J133" s="2">
        <v>1100</v>
      </c>
      <c r="K133" t="s">
        <v>19</v>
      </c>
      <c r="L133" s="1">
        <v>44707</v>
      </c>
      <c r="M133" t="s">
        <v>17</v>
      </c>
      <c r="N133">
        <v>35039</v>
      </c>
      <c r="O133" t="s">
        <v>17</v>
      </c>
      <c r="P133">
        <v>247094</v>
      </c>
    </row>
    <row r="134" spans="1:16" x14ac:dyDescent="0.25">
      <c r="A134" s="1">
        <v>44704</v>
      </c>
      <c r="B134" t="s">
        <v>16</v>
      </c>
      <c r="C134">
        <v>76971</v>
      </c>
      <c r="D134">
        <v>10515</v>
      </c>
      <c r="E134">
        <v>1069</v>
      </c>
      <c r="F134" t="s">
        <v>66</v>
      </c>
      <c r="G134" t="s">
        <v>111</v>
      </c>
      <c r="H134" t="s">
        <v>126</v>
      </c>
      <c r="I134" t="s">
        <v>224</v>
      </c>
      <c r="J134" s="2">
        <v>24</v>
      </c>
      <c r="K134" t="s">
        <v>127</v>
      </c>
      <c r="L134" s="1">
        <v>44707</v>
      </c>
      <c r="M134" t="s">
        <v>168</v>
      </c>
      <c r="N134">
        <v>35058</v>
      </c>
      <c r="O134">
        <v>154</v>
      </c>
      <c r="P134">
        <v>246655</v>
      </c>
    </row>
    <row r="135" spans="1:16" x14ac:dyDescent="0.25">
      <c r="A135" s="1">
        <v>44704</v>
      </c>
      <c r="B135" t="s">
        <v>25</v>
      </c>
      <c r="C135">
        <v>107339</v>
      </c>
      <c r="D135" t="s">
        <v>17</v>
      </c>
      <c r="E135">
        <v>32360</v>
      </c>
      <c r="F135" t="s">
        <v>169</v>
      </c>
      <c r="G135" t="s">
        <v>105</v>
      </c>
      <c r="H135" t="s">
        <v>26</v>
      </c>
      <c r="I135" t="s">
        <v>219</v>
      </c>
      <c r="J135" s="2">
        <v>288</v>
      </c>
      <c r="K135" t="s">
        <v>19</v>
      </c>
      <c r="L135" s="1">
        <v>44705</v>
      </c>
      <c r="M135" t="s">
        <v>17</v>
      </c>
      <c r="N135">
        <v>22974</v>
      </c>
      <c r="O135" t="s">
        <v>17</v>
      </c>
      <c r="P135">
        <v>41110</v>
      </c>
    </row>
    <row r="136" spans="1:16" x14ac:dyDescent="0.25">
      <c r="A136" s="1">
        <v>44704</v>
      </c>
      <c r="B136" t="s">
        <v>25</v>
      </c>
      <c r="C136">
        <v>107338</v>
      </c>
      <c r="D136" t="s">
        <v>17</v>
      </c>
      <c r="E136">
        <v>32360</v>
      </c>
      <c r="F136" t="s">
        <v>169</v>
      </c>
      <c r="G136" t="s">
        <v>105</v>
      </c>
      <c r="H136" t="s">
        <v>26</v>
      </c>
      <c r="I136" t="s">
        <v>225</v>
      </c>
      <c r="J136" s="2">
        <v>5</v>
      </c>
      <c r="K136" t="s">
        <v>19</v>
      </c>
      <c r="L136" s="1">
        <v>44705</v>
      </c>
      <c r="M136" t="s">
        <v>17</v>
      </c>
      <c r="N136">
        <v>22973</v>
      </c>
      <c r="O136" t="s">
        <v>17</v>
      </c>
      <c r="P136">
        <v>41108</v>
      </c>
    </row>
    <row r="137" spans="1:16" x14ac:dyDescent="0.25">
      <c r="A137" s="1">
        <v>44704</v>
      </c>
      <c r="B137" t="s">
        <v>25</v>
      </c>
      <c r="C137">
        <v>107340</v>
      </c>
      <c r="D137" t="s">
        <v>17</v>
      </c>
      <c r="E137">
        <v>32360</v>
      </c>
      <c r="F137" t="s">
        <v>169</v>
      </c>
      <c r="G137" t="s">
        <v>105</v>
      </c>
      <c r="H137" t="s">
        <v>26</v>
      </c>
      <c r="I137" t="s">
        <v>225</v>
      </c>
      <c r="J137" s="2">
        <v>3</v>
      </c>
      <c r="K137" t="s">
        <v>19</v>
      </c>
      <c r="L137" s="1">
        <v>44705</v>
      </c>
      <c r="M137" t="s">
        <v>17</v>
      </c>
      <c r="N137">
        <v>22975</v>
      </c>
      <c r="O137" t="s">
        <v>17</v>
      </c>
      <c r="P137">
        <v>41137</v>
      </c>
    </row>
    <row r="138" spans="1:16" x14ac:dyDescent="0.25">
      <c r="A138" s="1">
        <v>44704</v>
      </c>
      <c r="B138" t="s">
        <v>67</v>
      </c>
      <c r="C138">
        <v>107335</v>
      </c>
      <c r="D138">
        <v>19968</v>
      </c>
      <c r="E138" t="s">
        <v>17</v>
      </c>
      <c r="F138" t="s">
        <v>56</v>
      </c>
      <c r="G138" t="s">
        <v>56</v>
      </c>
      <c r="H138" t="s">
        <v>86</v>
      </c>
      <c r="I138" t="s">
        <v>214</v>
      </c>
      <c r="J138" s="2">
        <v>552</v>
      </c>
      <c r="K138" t="s">
        <v>170</v>
      </c>
      <c r="L138" s="1">
        <v>44704</v>
      </c>
      <c r="M138" t="s">
        <v>171</v>
      </c>
      <c r="N138">
        <v>22971</v>
      </c>
      <c r="O138">
        <v>36652</v>
      </c>
      <c r="P138">
        <v>41023</v>
      </c>
    </row>
    <row r="139" spans="1:16" x14ac:dyDescent="0.25">
      <c r="A139" s="1">
        <v>44704</v>
      </c>
      <c r="B139" t="s">
        <v>67</v>
      </c>
      <c r="C139">
        <v>107336</v>
      </c>
      <c r="D139">
        <v>19968</v>
      </c>
      <c r="E139" t="s">
        <v>17</v>
      </c>
      <c r="F139" t="s">
        <v>56</v>
      </c>
      <c r="G139" t="s">
        <v>56</v>
      </c>
      <c r="H139" t="s">
        <v>160</v>
      </c>
      <c r="I139" t="s">
        <v>214</v>
      </c>
      <c r="J139" s="2">
        <v>72</v>
      </c>
      <c r="K139" t="s">
        <v>170</v>
      </c>
      <c r="L139" s="1">
        <v>44704</v>
      </c>
      <c r="M139" t="s">
        <v>17</v>
      </c>
      <c r="N139">
        <v>22972</v>
      </c>
      <c r="O139">
        <v>36652</v>
      </c>
      <c r="P139">
        <v>41120</v>
      </c>
    </row>
    <row r="140" spans="1:16" x14ac:dyDescent="0.25">
      <c r="A140" s="1">
        <v>44704</v>
      </c>
      <c r="B140" t="s">
        <v>67</v>
      </c>
      <c r="C140">
        <v>107347</v>
      </c>
      <c r="D140">
        <v>19969</v>
      </c>
      <c r="E140" t="s">
        <v>17</v>
      </c>
      <c r="F140" t="s">
        <v>56</v>
      </c>
      <c r="G140" t="s">
        <v>56</v>
      </c>
      <c r="H140" t="s">
        <v>160</v>
      </c>
      <c r="I140" t="s">
        <v>226</v>
      </c>
      <c r="J140" s="2">
        <v>528</v>
      </c>
      <c r="K140" t="s">
        <v>172</v>
      </c>
      <c r="L140" s="1">
        <v>44705</v>
      </c>
      <c r="M140" t="s">
        <v>173</v>
      </c>
      <c r="N140">
        <v>22979</v>
      </c>
      <c r="O140">
        <v>36545</v>
      </c>
      <c r="P140">
        <v>41126</v>
      </c>
    </row>
    <row r="141" spans="1:16" x14ac:dyDescent="0.25">
      <c r="A141" s="1">
        <v>44705</v>
      </c>
      <c r="B141" t="s">
        <v>16</v>
      </c>
      <c r="C141">
        <v>76974</v>
      </c>
      <c r="D141">
        <v>10516</v>
      </c>
      <c r="E141" t="s">
        <v>17</v>
      </c>
      <c r="F141" t="s">
        <v>56</v>
      </c>
      <c r="G141" t="s">
        <v>56</v>
      </c>
      <c r="H141" t="s">
        <v>174</v>
      </c>
      <c r="I141" t="s">
        <v>36</v>
      </c>
      <c r="J141" s="2">
        <v>50</v>
      </c>
      <c r="K141" t="s">
        <v>175</v>
      </c>
      <c r="L141" s="1">
        <v>44707</v>
      </c>
      <c r="M141" t="s">
        <v>17</v>
      </c>
      <c r="N141">
        <v>35059</v>
      </c>
      <c r="O141">
        <v>36626</v>
      </c>
      <c r="P141">
        <v>244304</v>
      </c>
    </row>
    <row r="142" spans="1:16" x14ac:dyDescent="0.25">
      <c r="A142" s="1">
        <v>44705</v>
      </c>
      <c r="B142" t="s">
        <v>16</v>
      </c>
      <c r="C142">
        <v>76975</v>
      </c>
      <c r="D142">
        <v>10516</v>
      </c>
      <c r="E142" t="s">
        <v>17</v>
      </c>
      <c r="F142" t="s">
        <v>56</v>
      </c>
      <c r="G142" t="s">
        <v>56</v>
      </c>
      <c r="H142" t="s">
        <v>174</v>
      </c>
      <c r="I142" t="s">
        <v>36</v>
      </c>
      <c r="J142" s="2">
        <v>50</v>
      </c>
      <c r="K142" t="s">
        <v>175</v>
      </c>
      <c r="L142" s="1">
        <v>44707</v>
      </c>
      <c r="M142" t="s">
        <v>17</v>
      </c>
      <c r="N142">
        <v>35060</v>
      </c>
      <c r="O142">
        <v>36640</v>
      </c>
      <c r="P142">
        <v>248363</v>
      </c>
    </row>
    <row r="143" spans="1:16" x14ac:dyDescent="0.25">
      <c r="A143" s="1">
        <v>44705</v>
      </c>
      <c r="B143" t="s">
        <v>25</v>
      </c>
      <c r="C143">
        <v>107372</v>
      </c>
      <c r="D143" t="s">
        <v>17</v>
      </c>
      <c r="E143">
        <v>32352</v>
      </c>
      <c r="F143" t="s">
        <v>137</v>
      </c>
      <c r="G143" t="s">
        <v>105</v>
      </c>
      <c r="H143" t="s">
        <v>26</v>
      </c>
      <c r="I143" t="s">
        <v>34</v>
      </c>
      <c r="J143" s="2">
        <v>550</v>
      </c>
      <c r="K143" t="s">
        <v>19</v>
      </c>
      <c r="L143" s="1">
        <v>44707</v>
      </c>
      <c r="M143" t="s">
        <v>17</v>
      </c>
      <c r="N143">
        <v>22993</v>
      </c>
      <c r="O143" t="s">
        <v>17</v>
      </c>
      <c r="P143">
        <v>41161</v>
      </c>
    </row>
    <row r="144" spans="1:16" x14ac:dyDescent="0.25">
      <c r="A144" s="1">
        <v>44705</v>
      </c>
      <c r="B144" t="s">
        <v>25</v>
      </c>
      <c r="C144">
        <v>107372</v>
      </c>
      <c r="D144" t="s">
        <v>17</v>
      </c>
      <c r="E144">
        <v>32352</v>
      </c>
      <c r="F144" t="s">
        <v>137</v>
      </c>
      <c r="G144" t="s">
        <v>105</v>
      </c>
      <c r="H144" t="s">
        <v>26</v>
      </c>
      <c r="I144" t="s">
        <v>39</v>
      </c>
      <c r="J144" s="2">
        <v>550</v>
      </c>
      <c r="K144" t="s">
        <v>19</v>
      </c>
      <c r="L144" s="1">
        <v>44707</v>
      </c>
      <c r="M144" t="s">
        <v>17</v>
      </c>
      <c r="N144">
        <v>22993</v>
      </c>
      <c r="O144" t="s">
        <v>17</v>
      </c>
      <c r="P144">
        <v>41161</v>
      </c>
    </row>
    <row r="145" spans="1:16" x14ac:dyDescent="0.25">
      <c r="A145" s="1">
        <v>44705</v>
      </c>
      <c r="B145" t="s">
        <v>67</v>
      </c>
      <c r="C145">
        <v>107355</v>
      </c>
      <c r="D145">
        <v>19939</v>
      </c>
      <c r="E145" t="s">
        <v>17</v>
      </c>
      <c r="F145" t="s">
        <v>56</v>
      </c>
      <c r="G145" t="s">
        <v>56</v>
      </c>
      <c r="H145" t="s">
        <v>78</v>
      </c>
      <c r="I145" t="s">
        <v>214</v>
      </c>
      <c r="J145" s="2">
        <v>264</v>
      </c>
      <c r="K145" t="s">
        <v>115</v>
      </c>
      <c r="L145" s="1">
        <v>44705</v>
      </c>
      <c r="M145" t="s">
        <v>17</v>
      </c>
      <c r="N145">
        <v>22982</v>
      </c>
      <c r="O145">
        <v>36679</v>
      </c>
      <c r="P145">
        <v>41140</v>
      </c>
    </row>
    <row r="146" spans="1:16" x14ac:dyDescent="0.25">
      <c r="A146" s="1">
        <v>44705</v>
      </c>
      <c r="B146" t="s">
        <v>67</v>
      </c>
      <c r="C146">
        <v>107355</v>
      </c>
      <c r="D146">
        <v>19939</v>
      </c>
      <c r="E146" t="s">
        <v>17</v>
      </c>
      <c r="F146" t="s">
        <v>56</v>
      </c>
      <c r="G146" t="s">
        <v>56</v>
      </c>
      <c r="H146" t="s">
        <v>78</v>
      </c>
      <c r="I146" t="s">
        <v>214</v>
      </c>
      <c r="J146" s="2">
        <v>264</v>
      </c>
      <c r="K146" t="s">
        <v>117</v>
      </c>
      <c r="L146" s="1">
        <v>44705</v>
      </c>
      <c r="M146" t="s">
        <v>17</v>
      </c>
      <c r="N146">
        <v>22982</v>
      </c>
      <c r="O146">
        <v>36678</v>
      </c>
      <c r="P146">
        <v>41140</v>
      </c>
    </row>
    <row r="147" spans="1:16" x14ac:dyDescent="0.25">
      <c r="A147" s="1">
        <v>44705</v>
      </c>
      <c r="B147" t="s">
        <v>20</v>
      </c>
      <c r="C147">
        <v>149388</v>
      </c>
      <c r="D147">
        <v>19939</v>
      </c>
      <c r="E147" t="s">
        <v>17</v>
      </c>
      <c r="F147" t="s">
        <v>176</v>
      </c>
      <c r="G147" t="s">
        <v>56</v>
      </c>
      <c r="H147" t="s">
        <v>160</v>
      </c>
      <c r="I147" t="s">
        <v>38</v>
      </c>
      <c r="J147" s="2">
        <v>24840</v>
      </c>
      <c r="K147" t="s">
        <v>177</v>
      </c>
      <c r="L147" s="1">
        <v>44705</v>
      </c>
      <c r="M147" t="s">
        <v>178</v>
      </c>
      <c r="N147">
        <v>32163</v>
      </c>
      <c r="O147">
        <v>36680</v>
      </c>
      <c r="P147">
        <v>248471</v>
      </c>
    </row>
    <row r="148" spans="1:16" x14ac:dyDescent="0.25">
      <c r="A148" s="1">
        <v>44705</v>
      </c>
      <c r="B148" t="s">
        <v>20</v>
      </c>
      <c r="C148">
        <v>149391</v>
      </c>
      <c r="D148">
        <v>19970</v>
      </c>
      <c r="E148" t="s">
        <v>17</v>
      </c>
      <c r="F148" t="s">
        <v>107</v>
      </c>
      <c r="G148" t="s">
        <v>56</v>
      </c>
      <c r="H148" t="s">
        <v>23</v>
      </c>
      <c r="I148" t="s">
        <v>38</v>
      </c>
      <c r="J148" s="2">
        <v>28620</v>
      </c>
      <c r="K148" t="s">
        <v>24</v>
      </c>
      <c r="L148" s="1">
        <v>44705</v>
      </c>
      <c r="M148" t="s">
        <v>17</v>
      </c>
      <c r="N148">
        <v>32164</v>
      </c>
      <c r="O148" t="s">
        <v>179</v>
      </c>
      <c r="P148">
        <v>248489</v>
      </c>
    </row>
    <row r="149" spans="1:16" x14ac:dyDescent="0.25">
      <c r="A149" s="1">
        <v>44707</v>
      </c>
      <c r="B149" t="s">
        <v>16</v>
      </c>
      <c r="C149">
        <v>76989</v>
      </c>
      <c r="D149" t="s">
        <v>17</v>
      </c>
      <c r="E149">
        <v>3656</v>
      </c>
      <c r="F149" t="s">
        <v>72</v>
      </c>
      <c r="G149" t="s">
        <v>111</v>
      </c>
      <c r="H149" t="s">
        <v>18</v>
      </c>
      <c r="I149" t="s">
        <v>208</v>
      </c>
      <c r="J149" s="2">
        <v>400</v>
      </c>
      <c r="K149" t="s">
        <v>19</v>
      </c>
      <c r="L149" s="1">
        <v>44711</v>
      </c>
      <c r="M149" t="s">
        <v>17</v>
      </c>
      <c r="N149">
        <v>35069</v>
      </c>
      <c r="O149" t="s">
        <v>17</v>
      </c>
      <c r="P149">
        <v>248485</v>
      </c>
    </row>
    <row r="150" spans="1:16" x14ac:dyDescent="0.25">
      <c r="A150" s="1">
        <v>44707</v>
      </c>
      <c r="B150" t="s">
        <v>16</v>
      </c>
      <c r="C150">
        <v>76988</v>
      </c>
      <c r="D150">
        <v>10517</v>
      </c>
      <c r="E150">
        <v>3656</v>
      </c>
      <c r="F150" t="s">
        <v>72</v>
      </c>
      <c r="G150" t="s">
        <v>111</v>
      </c>
      <c r="H150" t="s">
        <v>18</v>
      </c>
      <c r="I150" t="s">
        <v>33</v>
      </c>
      <c r="J150" s="2">
        <v>350</v>
      </c>
      <c r="K150" t="s">
        <v>55</v>
      </c>
      <c r="L150" s="1">
        <v>44711</v>
      </c>
      <c r="M150" t="s">
        <v>17</v>
      </c>
      <c r="N150">
        <v>35068</v>
      </c>
      <c r="O150">
        <v>36711</v>
      </c>
      <c r="P150">
        <v>248485</v>
      </c>
    </row>
    <row r="151" spans="1:16" x14ac:dyDescent="0.25">
      <c r="A151" s="1">
        <v>44708</v>
      </c>
      <c r="B151" t="s">
        <v>16</v>
      </c>
      <c r="C151">
        <v>77018</v>
      </c>
      <c r="D151" t="s">
        <v>17</v>
      </c>
      <c r="E151">
        <v>31854</v>
      </c>
      <c r="F151" t="s">
        <v>180</v>
      </c>
      <c r="G151" t="s">
        <v>111</v>
      </c>
      <c r="H151" t="s">
        <v>45</v>
      </c>
      <c r="I151" t="s">
        <v>35</v>
      </c>
      <c r="J151" s="2">
        <v>100</v>
      </c>
      <c r="K151" t="s">
        <v>19</v>
      </c>
      <c r="L151" s="1">
        <v>44711</v>
      </c>
      <c r="M151" t="s">
        <v>17</v>
      </c>
      <c r="N151">
        <v>35088</v>
      </c>
      <c r="O151" t="s">
        <v>17</v>
      </c>
      <c r="P151">
        <v>248606</v>
      </c>
    </row>
    <row r="152" spans="1:16" x14ac:dyDescent="0.25">
      <c r="A152" s="1">
        <v>44708</v>
      </c>
      <c r="B152" t="s">
        <v>16</v>
      </c>
      <c r="C152">
        <v>77017</v>
      </c>
      <c r="D152" t="s">
        <v>17</v>
      </c>
      <c r="E152">
        <v>31854</v>
      </c>
      <c r="F152" t="s">
        <v>180</v>
      </c>
      <c r="G152" t="s">
        <v>111</v>
      </c>
      <c r="H152" t="s">
        <v>45</v>
      </c>
      <c r="I152" t="s">
        <v>39</v>
      </c>
      <c r="J152" s="2">
        <v>400</v>
      </c>
      <c r="K152" t="s">
        <v>19</v>
      </c>
      <c r="L152" s="1">
        <v>44711</v>
      </c>
      <c r="M152" t="s">
        <v>17</v>
      </c>
      <c r="N152">
        <v>35087</v>
      </c>
      <c r="O152" t="s">
        <v>17</v>
      </c>
      <c r="P152">
        <v>248483</v>
      </c>
    </row>
    <row r="153" spans="1:16" x14ac:dyDescent="0.25">
      <c r="A153" s="1">
        <v>44708</v>
      </c>
      <c r="B153" t="s">
        <v>16</v>
      </c>
      <c r="C153">
        <v>77016</v>
      </c>
      <c r="D153" t="s">
        <v>17</v>
      </c>
      <c r="E153">
        <v>31854</v>
      </c>
      <c r="F153" t="s">
        <v>180</v>
      </c>
      <c r="G153" t="s">
        <v>111</v>
      </c>
      <c r="H153" t="s">
        <v>45</v>
      </c>
      <c r="I153" t="s">
        <v>208</v>
      </c>
      <c r="J153" s="2">
        <v>250</v>
      </c>
      <c r="K153" t="s">
        <v>19</v>
      </c>
      <c r="L153" s="1">
        <v>44711</v>
      </c>
      <c r="M153" t="s">
        <v>17</v>
      </c>
      <c r="N153">
        <v>35086</v>
      </c>
      <c r="O153" t="s">
        <v>17</v>
      </c>
      <c r="P153">
        <v>246652</v>
      </c>
    </row>
    <row r="154" spans="1:16" x14ac:dyDescent="0.25">
      <c r="A154" s="1">
        <v>44708</v>
      </c>
      <c r="B154" t="s">
        <v>16</v>
      </c>
      <c r="C154">
        <v>77018</v>
      </c>
      <c r="D154">
        <v>10520</v>
      </c>
      <c r="E154">
        <v>31854</v>
      </c>
      <c r="F154" t="s">
        <v>180</v>
      </c>
      <c r="G154" t="s">
        <v>111</v>
      </c>
      <c r="H154" t="s">
        <v>45</v>
      </c>
      <c r="I154" t="s">
        <v>33</v>
      </c>
      <c r="J154" s="2">
        <v>300</v>
      </c>
      <c r="K154" t="s">
        <v>181</v>
      </c>
      <c r="L154" s="1">
        <v>44711</v>
      </c>
      <c r="M154" t="s">
        <v>17</v>
      </c>
      <c r="N154">
        <v>35088</v>
      </c>
      <c r="O154">
        <v>36722</v>
      </c>
      <c r="P154">
        <v>248606</v>
      </c>
    </row>
    <row r="155" spans="1:16" x14ac:dyDescent="0.25">
      <c r="A155" s="1">
        <v>44708</v>
      </c>
      <c r="B155" t="s">
        <v>16</v>
      </c>
      <c r="C155">
        <v>77003</v>
      </c>
      <c r="D155">
        <v>10519</v>
      </c>
      <c r="E155">
        <v>3656</v>
      </c>
      <c r="F155" t="s">
        <v>182</v>
      </c>
      <c r="G155" t="s">
        <v>111</v>
      </c>
      <c r="H155" t="s">
        <v>18</v>
      </c>
      <c r="I155" t="s">
        <v>227</v>
      </c>
      <c r="J155" s="2">
        <v>1100</v>
      </c>
      <c r="K155" t="s">
        <v>183</v>
      </c>
      <c r="L155" s="1">
        <v>44711</v>
      </c>
      <c r="M155" t="s">
        <v>157</v>
      </c>
      <c r="N155">
        <v>35078</v>
      </c>
      <c r="O155">
        <v>36716</v>
      </c>
      <c r="P155">
        <v>248653</v>
      </c>
    </row>
    <row r="156" spans="1:16" x14ac:dyDescent="0.25">
      <c r="A156" s="1">
        <v>44708</v>
      </c>
      <c r="B156" t="s">
        <v>25</v>
      </c>
      <c r="C156">
        <v>107390</v>
      </c>
      <c r="D156" t="s">
        <v>17</v>
      </c>
      <c r="E156">
        <v>32535</v>
      </c>
      <c r="F156" t="s">
        <v>184</v>
      </c>
      <c r="G156" t="s">
        <v>105</v>
      </c>
      <c r="H156" t="s">
        <v>26</v>
      </c>
      <c r="I156" t="s">
        <v>35</v>
      </c>
      <c r="J156" s="2">
        <v>150</v>
      </c>
      <c r="K156" t="s">
        <v>19</v>
      </c>
      <c r="L156" s="1">
        <v>44711</v>
      </c>
      <c r="M156" t="s">
        <v>17</v>
      </c>
      <c r="N156">
        <v>23000</v>
      </c>
      <c r="O156" t="s">
        <v>17</v>
      </c>
      <c r="P156">
        <v>41193</v>
      </c>
    </row>
    <row r="157" spans="1:16" x14ac:dyDescent="0.25">
      <c r="A157" s="1">
        <v>44708</v>
      </c>
      <c r="B157" t="s">
        <v>25</v>
      </c>
      <c r="C157">
        <v>107389</v>
      </c>
      <c r="D157" t="s">
        <v>17</v>
      </c>
      <c r="E157">
        <v>32535</v>
      </c>
      <c r="F157" t="s">
        <v>184</v>
      </c>
      <c r="G157" t="s">
        <v>105</v>
      </c>
      <c r="H157" t="s">
        <v>26</v>
      </c>
      <c r="I157" t="s">
        <v>39</v>
      </c>
      <c r="J157" s="2">
        <v>600</v>
      </c>
      <c r="K157" t="s">
        <v>19</v>
      </c>
      <c r="L157" s="1">
        <v>44711</v>
      </c>
      <c r="M157" t="s">
        <v>185</v>
      </c>
      <c r="N157">
        <v>22999</v>
      </c>
      <c r="O157" t="s">
        <v>17</v>
      </c>
      <c r="P157">
        <v>41174</v>
      </c>
    </row>
    <row r="158" spans="1:16" x14ac:dyDescent="0.25">
      <c r="A158" s="1">
        <v>44708</v>
      </c>
      <c r="B158" t="s">
        <v>25</v>
      </c>
      <c r="C158">
        <v>107388</v>
      </c>
      <c r="D158">
        <v>19961</v>
      </c>
      <c r="E158">
        <v>32535</v>
      </c>
      <c r="F158" t="s">
        <v>184</v>
      </c>
      <c r="G158" t="s">
        <v>105</v>
      </c>
      <c r="H158" t="s">
        <v>26</v>
      </c>
      <c r="I158" t="s">
        <v>41</v>
      </c>
      <c r="J158" s="2">
        <v>8</v>
      </c>
      <c r="K158" t="s">
        <v>30</v>
      </c>
      <c r="L158" s="1">
        <v>44711</v>
      </c>
      <c r="M158" t="s">
        <v>17</v>
      </c>
      <c r="N158">
        <v>22998</v>
      </c>
      <c r="O158">
        <v>36734</v>
      </c>
      <c r="P158">
        <v>41173</v>
      </c>
    </row>
    <row r="159" spans="1:16" x14ac:dyDescent="0.25">
      <c r="A159" s="1">
        <v>44708</v>
      </c>
      <c r="B159" t="s">
        <v>67</v>
      </c>
      <c r="C159">
        <v>107385</v>
      </c>
      <c r="D159">
        <v>19966</v>
      </c>
      <c r="E159" t="s">
        <v>17</v>
      </c>
      <c r="F159" t="s">
        <v>56</v>
      </c>
      <c r="G159" t="s">
        <v>56</v>
      </c>
      <c r="H159" t="s">
        <v>142</v>
      </c>
      <c r="I159" t="s">
        <v>215</v>
      </c>
      <c r="J159" s="2">
        <v>240</v>
      </c>
      <c r="K159" t="s">
        <v>70</v>
      </c>
      <c r="L159" s="1">
        <v>44708</v>
      </c>
      <c r="M159" t="s">
        <v>32</v>
      </c>
      <c r="N159">
        <v>22997</v>
      </c>
      <c r="O159">
        <v>36718</v>
      </c>
      <c r="P159">
        <v>41189</v>
      </c>
    </row>
    <row r="160" spans="1:16" x14ac:dyDescent="0.25">
      <c r="A160" s="1">
        <v>44708</v>
      </c>
      <c r="B160" t="s">
        <v>67</v>
      </c>
      <c r="C160">
        <v>107385</v>
      </c>
      <c r="D160">
        <v>19967</v>
      </c>
      <c r="E160" t="s">
        <v>17</v>
      </c>
      <c r="F160" t="s">
        <v>56</v>
      </c>
      <c r="G160" t="s">
        <v>56</v>
      </c>
      <c r="H160" t="s">
        <v>142</v>
      </c>
      <c r="I160" t="s">
        <v>214</v>
      </c>
      <c r="J160" s="2">
        <v>288</v>
      </c>
      <c r="K160" t="s">
        <v>186</v>
      </c>
      <c r="L160" s="1">
        <v>44708</v>
      </c>
      <c r="M160" t="s">
        <v>187</v>
      </c>
      <c r="N160">
        <v>22997</v>
      </c>
      <c r="O160">
        <v>36719</v>
      </c>
      <c r="P160">
        <v>41189</v>
      </c>
    </row>
    <row r="161" spans="1:16" x14ac:dyDescent="0.25">
      <c r="A161" s="1">
        <v>44708</v>
      </c>
      <c r="B161" t="s">
        <v>20</v>
      </c>
      <c r="C161">
        <v>149438</v>
      </c>
      <c r="D161">
        <v>19773</v>
      </c>
      <c r="E161" t="s">
        <v>17</v>
      </c>
      <c r="F161" t="s">
        <v>188</v>
      </c>
      <c r="G161" t="s">
        <v>56</v>
      </c>
      <c r="H161" t="s">
        <v>189</v>
      </c>
      <c r="I161" t="s">
        <v>38</v>
      </c>
      <c r="J161" s="2">
        <v>24080</v>
      </c>
      <c r="K161" t="s">
        <v>190</v>
      </c>
      <c r="L161" s="1">
        <v>44708</v>
      </c>
      <c r="M161" t="s">
        <v>191</v>
      </c>
      <c r="N161">
        <v>32175</v>
      </c>
      <c r="O161">
        <v>36822</v>
      </c>
      <c r="P161">
        <v>248658</v>
      </c>
    </row>
    <row r="162" spans="1:16" x14ac:dyDescent="0.25">
      <c r="A162" s="1">
        <v>44708</v>
      </c>
      <c r="B162" t="s">
        <v>20</v>
      </c>
      <c r="C162">
        <v>149439</v>
      </c>
      <c r="D162">
        <v>19772</v>
      </c>
      <c r="E162" t="s">
        <v>17</v>
      </c>
      <c r="F162" t="s">
        <v>192</v>
      </c>
      <c r="G162" t="s">
        <v>56</v>
      </c>
      <c r="H162" t="s">
        <v>189</v>
      </c>
      <c r="I162" t="s">
        <v>38</v>
      </c>
      <c r="J162" s="2">
        <v>23800</v>
      </c>
      <c r="K162" t="s">
        <v>190</v>
      </c>
      <c r="L162" s="1">
        <v>44708</v>
      </c>
      <c r="M162" t="s">
        <v>193</v>
      </c>
      <c r="N162">
        <v>32176</v>
      </c>
      <c r="O162">
        <v>36822</v>
      </c>
      <c r="P162">
        <v>248662</v>
      </c>
    </row>
    <row r="163" spans="1:16" x14ac:dyDescent="0.25">
      <c r="A163" s="1">
        <v>44708</v>
      </c>
      <c r="B163" t="s">
        <v>20</v>
      </c>
      <c r="C163">
        <v>149460</v>
      </c>
      <c r="D163">
        <v>19771</v>
      </c>
      <c r="E163" t="s">
        <v>17</v>
      </c>
      <c r="F163" t="s">
        <v>194</v>
      </c>
      <c r="G163" t="s">
        <v>56</v>
      </c>
      <c r="H163" t="s">
        <v>195</v>
      </c>
      <c r="I163" t="s">
        <v>38</v>
      </c>
      <c r="J163" s="2">
        <v>27460</v>
      </c>
      <c r="K163" t="s">
        <v>21</v>
      </c>
      <c r="L163" s="1">
        <v>44708</v>
      </c>
      <c r="M163" t="s">
        <v>196</v>
      </c>
      <c r="N163">
        <v>32189</v>
      </c>
      <c r="O163">
        <v>36713</v>
      </c>
      <c r="P163">
        <v>248708</v>
      </c>
    </row>
    <row r="164" spans="1:16" x14ac:dyDescent="0.25">
      <c r="A164" s="1">
        <v>44711</v>
      </c>
      <c r="B164" t="s">
        <v>16</v>
      </c>
      <c r="C164">
        <v>77039</v>
      </c>
      <c r="D164" t="s">
        <v>17</v>
      </c>
      <c r="E164">
        <v>3656</v>
      </c>
      <c r="F164" t="s">
        <v>148</v>
      </c>
      <c r="G164" t="s">
        <v>111</v>
      </c>
      <c r="H164" t="s">
        <v>18</v>
      </c>
      <c r="I164" t="s">
        <v>34</v>
      </c>
      <c r="J164" s="2">
        <v>600</v>
      </c>
      <c r="K164" t="s">
        <v>19</v>
      </c>
      <c r="L164" s="1">
        <v>44711</v>
      </c>
      <c r="M164" t="s">
        <v>17</v>
      </c>
      <c r="N164">
        <v>35103</v>
      </c>
      <c r="O164" t="s">
        <v>17</v>
      </c>
      <c r="P164">
        <v>248817</v>
      </c>
    </row>
    <row r="165" spans="1:16" x14ac:dyDescent="0.25">
      <c r="A165" s="1">
        <v>44711</v>
      </c>
      <c r="B165" t="s">
        <v>16</v>
      </c>
      <c r="C165">
        <v>77043</v>
      </c>
      <c r="D165" t="s">
        <v>17</v>
      </c>
      <c r="E165">
        <v>3656</v>
      </c>
      <c r="F165" t="s">
        <v>197</v>
      </c>
      <c r="G165" t="s">
        <v>198</v>
      </c>
      <c r="H165" t="s">
        <v>18</v>
      </c>
      <c r="I165" t="s">
        <v>34</v>
      </c>
      <c r="J165" s="2">
        <v>500</v>
      </c>
      <c r="K165" t="s">
        <v>19</v>
      </c>
      <c r="L165" s="1">
        <v>44712</v>
      </c>
      <c r="M165" t="s">
        <v>17</v>
      </c>
      <c r="N165">
        <v>35104</v>
      </c>
      <c r="O165" t="s">
        <v>17</v>
      </c>
      <c r="P165">
        <v>246652</v>
      </c>
    </row>
    <row r="166" spans="1:16" x14ac:dyDescent="0.25">
      <c r="A166" s="1">
        <v>44711</v>
      </c>
      <c r="B166" t="s">
        <v>16</v>
      </c>
      <c r="C166">
        <v>77039</v>
      </c>
      <c r="D166" t="s">
        <v>17</v>
      </c>
      <c r="E166">
        <v>3656</v>
      </c>
      <c r="F166" t="s">
        <v>148</v>
      </c>
      <c r="G166" t="s">
        <v>111</v>
      </c>
      <c r="H166" t="s">
        <v>18</v>
      </c>
      <c r="I166" t="s">
        <v>35</v>
      </c>
      <c r="J166" s="2">
        <v>500</v>
      </c>
      <c r="K166" t="s">
        <v>19</v>
      </c>
      <c r="L166" s="1">
        <v>44711</v>
      </c>
      <c r="M166" t="s">
        <v>17</v>
      </c>
      <c r="N166">
        <v>35103</v>
      </c>
      <c r="O166" t="s">
        <v>17</v>
      </c>
      <c r="P166">
        <v>248817</v>
      </c>
    </row>
    <row r="167" spans="1:16" x14ac:dyDescent="0.25">
      <c r="A167" s="1">
        <v>44711</v>
      </c>
      <c r="B167" t="s">
        <v>16</v>
      </c>
      <c r="C167">
        <v>77044</v>
      </c>
      <c r="D167" t="s">
        <v>17</v>
      </c>
      <c r="E167">
        <v>3656</v>
      </c>
      <c r="F167" t="s">
        <v>197</v>
      </c>
      <c r="G167" t="s">
        <v>198</v>
      </c>
      <c r="H167" t="s">
        <v>18</v>
      </c>
      <c r="I167" t="s">
        <v>35</v>
      </c>
      <c r="J167" s="2">
        <v>300</v>
      </c>
      <c r="K167" t="s">
        <v>19</v>
      </c>
      <c r="L167" s="1">
        <v>44712</v>
      </c>
      <c r="M167" t="s">
        <v>17</v>
      </c>
      <c r="N167">
        <v>35105</v>
      </c>
      <c r="O167" t="s">
        <v>17</v>
      </c>
      <c r="P167">
        <v>246892</v>
      </c>
    </row>
    <row r="168" spans="1:16" x14ac:dyDescent="0.25">
      <c r="A168" s="1">
        <v>44711</v>
      </c>
      <c r="B168" t="s">
        <v>16</v>
      </c>
      <c r="C168">
        <v>77043</v>
      </c>
      <c r="D168" t="s">
        <v>17</v>
      </c>
      <c r="E168">
        <v>3656</v>
      </c>
      <c r="F168" t="s">
        <v>197</v>
      </c>
      <c r="G168" t="s">
        <v>198</v>
      </c>
      <c r="H168" t="s">
        <v>18</v>
      </c>
      <c r="I168" t="s">
        <v>34</v>
      </c>
      <c r="J168" s="2">
        <v>300</v>
      </c>
      <c r="K168" t="s">
        <v>199</v>
      </c>
      <c r="L168" s="1">
        <v>44712</v>
      </c>
      <c r="M168" t="s">
        <v>200</v>
      </c>
      <c r="N168">
        <v>35104</v>
      </c>
      <c r="O168">
        <v>36392</v>
      </c>
      <c r="P168">
        <v>246652</v>
      </c>
    </row>
    <row r="169" spans="1:16" x14ac:dyDescent="0.25">
      <c r="A169" s="1">
        <v>44711</v>
      </c>
      <c r="B169" t="s">
        <v>20</v>
      </c>
      <c r="C169">
        <v>149482</v>
      </c>
      <c r="D169">
        <v>19979</v>
      </c>
      <c r="E169" t="s">
        <v>17</v>
      </c>
      <c r="F169" t="s">
        <v>201</v>
      </c>
      <c r="G169" t="s">
        <v>56</v>
      </c>
      <c r="H169" t="s">
        <v>78</v>
      </c>
      <c r="I169" t="s">
        <v>38</v>
      </c>
      <c r="J169" s="2">
        <v>27680</v>
      </c>
      <c r="K169" t="s">
        <v>92</v>
      </c>
      <c r="L169" s="1">
        <v>44711</v>
      </c>
      <c r="M169" t="s">
        <v>80</v>
      </c>
      <c r="N169">
        <v>32200</v>
      </c>
      <c r="O169">
        <v>36737</v>
      </c>
      <c r="P169">
        <v>248861</v>
      </c>
    </row>
    <row r="170" spans="1:16" x14ac:dyDescent="0.25">
      <c r="A170" s="1">
        <v>44712</v>
      </c>
      <c r="B170" t="s">
        <v>25</v>
      </c>
      <c r="C170">
        <v>107411</v>
      </c>
      <c r="D170" t="s">
        <v>17</v>
      </c>
      <c r="E170">
        <v>32558</v>
      </c>
      <c r="F170" t="s">
        <v>60</v>
      </c>
      <c r="G170" t="s">
        <v>105</v>
      </c>
      <c r="H170" t="s">
        <v>26</v>
      </c>
      <c r="I170" t="s">
        <v>39</v>
      </c>
      <c r="J170" s="2">
        <v>100</v>
      </c>
      <c r="K170" t="s">
        <v>19</v>
      </c>
      <c r="L170" s="1">
        <v>44714</v>
      </c>
      <c r="M170" t="s">
        <v>202</v>
      </c>
      <c r="N170">
        <v>23016</v>
      </c>
      <c r="O170" t="s">
        <v>17</v>
      </c>
      <c r="P170">
        <v>40856</v>
      </c>
    </row>
    <row r="171" spans="1:16" x14ac:dyDescent="0.25">
      <c r="A171" s="1">
        <v>44712</v>
      </c>
      <c r="B171" t="s">
        <v>25</v>
      </c>
      <c r="C171">
        <v>107412</v>
      </c>
      <c r="D171" t="s">
        <v>17</v>
      </c>
      <c r="E171">
        <v>32558</v>
      </c>
      <c r="F171" t="s">
        <v>60</v>
      </c>
      <c r="G171" t="s">
        <v>105</v>
      </c>
      <c r="H171" t="s">
        <v>26</v>
      </c>
      <c r="I171" t="s">
        <v>39</v>
      </c>
      <c r="J171" s="2">
        <v>500</v>
      </c>
      <c r="K171" t="s">
        <v>19</v>
      </c>
      <c r="L171" s="1">
        <v>44714</v>
      </c>
      <c r="M171" t="s">
        <v>202</v>
      </c>
      <c r="N171">
        <v>23017</v>
      </c>
      <c r="O171" t="s">
        <v>17</v>
      </c>
      <c r="P171">
        <v>40812</v>
      </c>
    </row>
    <row r="172" spans="1:16" x14ac:dyDescent="0.25">
      <c r="A172" s="1">
        <v>44712</v>
      </c>
      <c r="B172" t="s">
        <v>25</v>
      </c>
      <c r="C172">
        <v>107410</v>
      </c>
      <c r="D172">
        <v>19977</v>
      </c>
      <c r="E172">
        <v>32558</v>
      </c>
      <c r="F172" t="s">
        <v>60</v>
      </c>
      <c r="G172" t="s">
        <v>105</v>
      </c>
      <c r="H172" t="s">
        <v>26</v>
      </c>
      <c r="I172" t="s">
        <v>220</v>
      </c>
      <c r="J172" s="2">
        <v>240</v>
      </c>
      <c r="K172" t="s">
        <v>129</v>
      </c>
      <c r="L172" s="1">
        <v>44714</v>
      </c>
      <c r="M172" t="s">
        <v>17</v>
      </c>
      <c r="N172">
        <v>23015</v>
      </c>
      <c r="O172">
        <v>36612</v>
      </c>
      <c r="P172">
        <v>41216</v>
      </c>
    </row>
    <row r="173" spans="1:16" x14ac:dyDescent="0.25">
      <c r="A173" s="1">
        <v>44712</v>
      </c>
      <c r="B173" t="s">
        <v>67</v>
      </c>
      <c r="C173">
        <v>107416</v>
      </c>
      <c r="D173" t="s">
        <v>17</v>
      </c>
      <c r="E173" t="s">
        <v>22</v>
      </c>
      <c r="F173" t="s">
        <v>56</v>
      </c>
      <c r="G173" t="s">
        <v>56</v>
      </c>
      <c r="H173" t="s">
        <v>31</v>
      </c>
      <c r="I173" t="s">
        <v>228</v>
      </c>
      <c r="J173" s="2">
        <v>200</v>
      </c>
      <c r="K173" t="s">
        <v>19</v>
      </c>
      <c r="L173" s="1">
        <v>44712</v>
      </c>
      <c r="M173" t="s">
        <v>68</v>
      </c>
      <c r="N173">
        <v>23020</v>
      </c>
      <c r="O173" t="s">
        <v>17</v>
      </c>
      <c r="P173">
        <v>41185</v>
      </c>
    </row>
    <row r="174" spans="1:16" x14ac:dyDescent="0.25">
      <c r="A174" s="1">
        <v>44712</v>
      </c>
      <c r="B174" t="s">
        <v>67</v>
      </c>
      <c r="C174">
        <v>107414</v>
      </c>
      <c r="D174" t="s">
        <v>17</v>
      </c>
      <c r="E174" t="s">
        <v>22</v>
      </c>
      <c r="F174" t="s">
        <v>56</v>
      </c>
      <c r="G174" t="s">
        <v>56</v>
      </c>
      <c r="H174" t="s">
        <v>31</v>
      </c>
      <c r="I174" t="s">
        <v>211</v>
      </c>
      <c r="J174" s="2">
        <v>200</v>
      </c>
      <c r="K174" t="s">
        <v>19</v>
      </c>
      <c r="L174" s="1">
        <v>44712</v>
      </c>
      <c r="M174" t="s">
        <v>68</v>
      </c>
      <c r="N174">
        <v>23018</v>
      </c>
      <c r="O174" t="s">
        <v>17</v>
      </c>
      <c r="P174">
        <v>41182</v>
      </c>
    </row>
    <row r="175" spans="1:16" x14ac:dyDescent="0.25">
      <c r="A175" s="1">
        <v>44712</v>
      </c>
      <c r="B175" t="s">
        <v>67</v>
      </c>
      <c r="C175">
        <v>107415</v>
      </c>
      <c r="D175">
        <v>19974</v>
      </c>
      <c r="E175" t="s">
        <v>203</v>
      </c>
      <c r="F175" t="s">
        <v>56</v>
      </c>
      <c r="G175" t="s">
        <v>56</v>
      </c>
      <c r="H175" t="s">
        <v>31</v>
      </c>
      <c r="I175" t="s">
        <v>222</v>
      </c>
      <c r="J175" s="2">
        <v>500</v>
      </c>
      <c r="K175" t="s">
        <v>204</v>
      </c>
      <c r="L175" s="1">
        <v>44712</v>
      </c>
      <c r="M175" t="s">
        <v>17</v>
      </c>
      <c r="N175">
        <v>23019</v>
      </c>
      <c r="O175">
        <v>36823</v>
      </c>
      <c r="P175">
        <v>41184</v>
      </c>
    </row>
    <row r="176" spans="1:16" x14ac:dyDescent="0.25">
      <c r="A176" s="1">
        <v>44712</v>
      </c>
      <c r="B176" t="s">
        <v>67</v>
      </c>
      <c r="C176">
        <v>107414</v>
      </c>
      <c r="D176">
        <v>19975</v>
      </c>
      <c r="E176" t="s">
        <v>203</v>
      </c>
      <c r="F176" t="s">
        <v>56</v>
      </c>
      <c r="G176" t="s">
        <v>56</v>
      </c>
      <c r="H176" t="s">
        <v>31</v>
      </c>
      <c r="I176" t="s">
        <v>211</v>
      </c>
      <c r="J176" s="2">
        <v>200</v>
      </c>
      <c r="K176" t="s">
        <v>204</v>
      </c>
      <c r="L176" s="1">
        <v>44712</v>
      </c>
      <c r="M176" t="s">
        <v>17</v>
      </c>
      <c r="N176">
        <v>23018</v>
      </c>
      <c r="O176">
        <v>36824</v>
      </c>
      <c r="P176">
        <v>41182</v>
      </c>
    </row>
    <row r="177" spans="1:16" x14ac:dyDescent="0.25">
      <c r="A177" s="1">
        <v>44712</v>
      </c>
      <c r="B177" t="s">
        <v>20</v>
      </c>
      <c r="C177">
        <v>149520</v>
      </c>
      <c r="D177">
        <v>19978</v>
      </c>
      <c r="E177" t="s">
        <v>17</v>
      </c>
      <c r="F177" t="s">
        <v>205</v>
      </c>
      <c r="G177" t="s">
        <v>56</v>
      </c>
      <c r="H177" t="s">
        <v>142</v>
      </c>
      <c r="I177" t="s">
        <v>38</v>
      </c>
      <c r="J177" s="2">
        <v>9700</v>
      </c>
      <c r="K177" t="s">
        <v>21</v>
      </c>
      <c r="L177" s="1">
        <v>44712</v>
      </c>
      <c r="M177" t="s">
        <v>17</v>
      </c>
      <c r="N177">
        <v>32228</v>
      </c>
      <c r="O177">
        <v>36749</v>
      </c>
      <c r="P177">
        <v>248938</v>
      </c>
    </row>
    <row r="178" spans="1:16" x14ac:dyDescent="0.25">
      <c r="A178" s="1">
        <v>44712</v>
      </c>
      <c r="B178" t="s">
        <v>20</v>
      </c>
      <c r="C178">
        <v>149521</v>
      </c>
      <c r="D178">
        <v>19980</v>
      </c>
      <c r="E178" t="s">
        <v>17</v>
      </c>
      <c r="F178" t="s">
        <v>206</v>
      </c>
      <c r="G178" t="s">
        <v>56</v>
      </c>
      <c r="H178" t="s">
        <v>142</v>
      </c>
      <c r="I178" t="s">
        <v>38</v>
      </c>
      <c r="J178" s="2">
        <v>28960</v>
      </c>
      <c r="K178" t="s">
        <v>21</v>
      </c>
      <c r="L178" s="1">
        <v>44712</v>
      </c>
      <c r="M178" t="s">
        <v>17</v>
      </c>
      <c r="N178">
        <v>32229</v>
      </c>
      <c r="O178">
        <v>36750</v>
      </c>
      <c r="P178">
        <v>248939</v>
      </c>
    </row>
    <row r="179" spans="1:16" x14ac:dyDescent="0.25">
      <c r="A179" s="1">
        <v>44712</v>
      </c>
      <c r="B179" t="s">
        <v>20</v>
      </c>
      <c r="C179">
        <v>149523</v>
      </c>
      <c r="D179">
        <v>19981</v>
      </c>
      <c r="E179" t="s">
        <v>17</v>
      </c>
      <c r="F179" t="s">
        <v>207</v>
      </c>
      <c r="G179" t="s">
        <v>56</v>
      </c>
      <c r="H179" t="s">
        <v>142</v>
      </c>
      <c r="I179" t="s">
        <v>38</v>
      </c>
      <c r="J179" s="2">
        <v>28520</v>
      </c>
      <c r="K179" t="s">
        <v>21</v>
      </c>
      <c r="L179" s="1">
        <v>44712</v>
      </c>
      <c r="M179" t="s">
        <v>17</v>
      </c>
      <c r="N179">
        <v>32230</v>
      </c>
      <c r="O179">
        <v>36751</v>
      </c>
      <c r="P179">
        <v>248943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Agosto 22</vt:lpstr>
      <vt:lpstr>Precios</vt:lpstr>
      <vt:lpstr>Tabla a calcular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2022-09-21T18:50:36Z</cp:lastPrinted>
  <dcterms:created xsi:type="dcterms:W3CDTF">2022-09-15T12:26:27Z</dcterms:created>
  <dcterms:modified xsi:type="dcterms:W3CDTF">2022-09-22T11:45:33Z</dcterms:modified>
</cp:coreProperties>
</file>